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deloe\Desktop\Travail_ecole\M1_SID\Semestre 2\Projet_tableau_de_bord\Projet_Tableau_de_Bord\Projet_Catastrophes_Naturelles\Tableau_de_bord\"/>
    </mc:Choice>
  </mc:AlternateContent>
  <bookViews>
    <workbookView xWindow="0" yWindow="0" windowWidth="20496" windowHeight="7656" firstSheet="2" activeTab="2"/>
  </bookViews>
  <sheets>
    <sheet name="Transformation data" sheetId="3" state="hidden" r:id="rId1"/>
    <sheet name="Data" sheetId="1" state="hidden" r:id="rId2"/>
    <sheet name="Informations" sheetId="5" r:id="rId3"/>
    <sheet name="Dashboard" sheetId="2" r:id="rId4"/>
    <sheet name="WordCloud " sheetId="4" r:id="rId5"/>
    <sheet name="CountriesCloud" sheetId="6" r:id="rId6"/>
    <sheet name="Maps" sheetId="7" r:id="rId7"/>
  </sheets>
  <definedNames>
    <definedName name="Segment_Années">#N/A</definedName>
    <definedName name="Segment_Thème">#N/A</definedName>
  </definedNames>
  <calcPr calcId="162913"/>
  <pivotCaches>
    <pivotCache cacheId="0" r:id="rId8"/>
    <pivotCache cacheId="1" r:id="rId9"/>
  </pivotCaches>
  <extLst>
    <ext xmlns:x14="http://schemas.microsoft.com/office/spreadsheetml/2009/9/main" uri="{BBE1A952-AA13-448e-AADC-164F8A28A991}">
      <x14:slicerCaches>
        <x14:slicerCache r:id="rId10"/>
        <x14:slicerCache r:id="rId11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85" i="1" l="1"/>
  <c r="N15" i="1"/>
  <c r="N14" i="1"/>
  <c r="N13" i="1"/>
  <c r="I8" i="1" l="1"/>
  <c r="J4" i="1" s="1"/>
  <c r="J7" i="1" l="1"/>
  <c r="J5" i="1"/>
  <c r="J3" i="1"/>
  <c r="J6" i="1"/>
</calcChain>
</file>

<file path=xl/sharedStrings.xml><?xml version="1.0" encoding="utf-8"?>
<sst xmlns="http://schemas.openxmlformats.org/spreadsheetml/2006/main" count="372" uniqueCount="69">
  <si>
    <t>Année</t>
  </si>
  <si>
    <t>Étiquettes de lignes</t>
  </si>
  <si>
    <t>Total général</t>
  </si>
  <si>
    <t>2000</t>
  </si>
  <si>
    <t>2001</t>
  </si>
  <si>
    <t>2002</t>
  </si>
  <si>
    <t>2003</t>
  </si>
  <si>
    <t>2004</t>
  </si>
  <si>
    <t>2005</t>
  </si>
  <si>
    <t>2006</t>
  </si>
  <si>
    <t>2007</t>
  </si>
  <si>
    <t>2008</t>
  </si>
  <si>
    <t>2009</t>
  </si>
  <si>
    <t>2010</t>
  </si>
  <si>
    <t>2011</t>
  </si>
  <si>
    <t>2012</t>
  </si>
  <si>
    <t>2013</t>
  </si>
  <si>
    <t>2014</t>
  </si>
  <si>
    <t>2015</t>
  </si>
  <si>
    <t>2016</t>
  </si>
  <si>
    <t>2017</t>
  </si>
  <si>
    <t>2018</t>
  </si>
  <si>
    <t>Étiquettes de colonnes</t>
  </si>
  <si>
    <t>Nb article par theme par année</t>
  </si>
  <si>
    <t>cyclone</t>
  </si>
  <si>
    <t>ouragan</t>
  </si>
  <si>
    <t>tremblement de terre</t>
  </si>
  <si>
    <t>typhon</t>
  </si>
  <si>
    <t>seisme</t>
  </si>
  <si>
    <t>Thème</t>
  </si>
  <si>
    <t>Nb articles par theme et année</t>
  </si>
  <si>
    <t>Nb article</t>
  </si>
  <si>
    <t>Nb mort</t>
  </si>
  <si>
    <t>Somme de Nb article</t>
  </si>
  <si>
    <t>Somme de Nb mort</t>
  </si>
  <si>
    <t>Depuis des centaines d’années la planète est en proie à de nombreux phénomènes météorologiques naturels (éruption volcanique, séisme, ouragan…). Ces phénomènes se sont amplifiés à cause des activités humaines qui ont accéléré le réchauffement climatique. Après leurs passages, les dégâts peuvent être important et des victimes sont souvent à déplorer. Ces catastrophes font donc l’actualité dans les médias lorsqu’ils se produisent.</t>
  </si>
  <si>
    <t xml:space="preserve">Notre problématique est la suivante : Les catastrophes naturelles sont-elles plus fréquentes et destructrices depuis le début du XXIe siècle? </t>
  </si>
  <si>
    <t>Les Catastrophes Naturelles</t>
  </si>
  <si>
    <t xml:space="preserve">Au travers du Dashbord nous allons montrer les différents résultats obtenus en analysant les articles. </t>
  </si>
  <si>
    <t>Cout</t>
  </si>
  <si>
    <t>Somme de Cout</t>
  </si>
  <si>
    <t>Nouvel Obs</t>
  </si>
  <si>
    <t>Le Monde</t>
  </si>
  <si>
    <t>Le Point</t>
  </si>
  <si>
    <t>Libération</t>
  </si>
  <si>
    <t>Le Figaro</t>
  </si>
  <si>
    <t>Source</t>
  </si>
  <si>
    <t>Nb</t>
  </si>
  <si>
    <t>Janvier</t>
  </si>
  <si>
    <t>Mois</t>
  </si>
  <si>
    <t>Theme</t>
  </si>
  <si>
    <t>Février</t>
  </si>
  <si>
    <t>Mars</t>
  </si>
  <si>
    <t>Avril</t>
  </si>
  <si>
    <t>Mai</t>
  </si>
  <si>
    <t>Juin</t>
  </si>
  <si>
    <t>Juillet</t>
  </si>
  <si>
    <t>Août</t>
  </si>
  <si>
    <t>Septembre</t>
  </si>
  <si>
    <t>Octobre</t>
  </si>
  <si>
    <t>Novembre</t>
  </si>
  <si>
    <t>Décembre</t>
  </si>
  <si>
    <t>Somme de Nb</t>
  </si>
  <si>
    <t>Saison</t>
  </si>
  <si>
    <t>Printemps</t>
  </si>
  <si>
    <t>Été</t>
  </si>
  <si>
    <t>Automne</t>
  </si>
  <si>
    <t>Hiver</t>
  </si>
  <si>
    <t>inondation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</si>
</sst>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44" formatCode="_-* #,##0.00\ &quot;€&quot;_-;\-* #,##0.00\ &quot;€&quot;_-;_-* &quot;-&quot;??\ &quot;€&quot;_-;_-@_-"/>
    <numFmt numFmtId="43" formatCode="_-* #,##0.00\ _€_-;\-* #,##0.00\ _€_-;_-* &quot;-&quot;??\ _€_-;_-@_-"/>
    <numFmt numFmtId="164" formatCode="[$-F800]dddd\,\ mmmm\ dd\,\ yyyy"/>
    <numFmt numFmtId="165" formatCode="yyyy"/>
    <numFmt numFmtId="166" formatCode="_-* #,##0\ _€_-;\-* #,##0\ _€_-;_-* &quot;-&quot;??\ _€_-;_-@_-"/>
    <numFmt numFmtId="167" formatCode="_-* #,##0\ &quot;€&quot;_-;\-* #,##0\ &quot;€&quot;_-;_-* &quot;-&quot;??\ &quot;€&quot;_-;_-@_-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Arial"/>
      <family val="2"/>
    </font>
    <font>
      <b/>
      <sz val="2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7" fillId="0" borderId="0" applyNumberFormat="0" applyFill="0" applyBorder="0" applyAlignment="0" applyProtection="0"/>
  </cellStyleXfs>
  <cellXfs count="23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164" fontId="0" fillId="0" borderId="0" xfId="0" applyNumberFormat="1"/>
    <xf numFmtId="165" fontId="0" fillId="0" borderId="0" xfId="0" applyNumberFormat="1"/>
    <xf numFmtId="9" fontId="0" fillId="0" borderId="0" xfId="0" applyNumberFormat="1"/>
    <xf numFmtId="166" fontId="0" fillId="0" borderId="0" xfId="1" applyNumberFormat="1" applyFont="1"/>
    <xf numFmtId="0" fontId="3" fillId="2" borderId="0" xfId="0" applyFont="1" applyFill="1"/>
    <xf numFmtId="0" fontId="0" fillId="2" borderId="0" xfId="0" applyFill="1"/>
    <xf numFmtId="0" fontId="2" fillId="2" borderId="0" xfId="0" applyFont="1" applyFill="1" applyBorder="1"/>
    <xf numFmtId="0" fontId="0" fillId="2" borderId="0" xfId="0" applyFill="1" applyBorder="1"/>
    <xf numFmtId="0" fontId="6" fillId="2" borderId="0" xfId="0" applyFont="1" applyFill="1" applyBorder="1" applyAlignment="1">
      <alignment horizontal="center"/>
    </xf>
    <xf numFmtId="0" fontId="5" fillId="2" borderId="0" xfId="0" applyFont="1" applyFill="1" applyBorder="1" applyAlignment="1">
      <alignment horizontal="justify" vertical="center"/>
    </xf>
    <xf numFmtId="0" fontId="0" fillId="2" borderId="0" xfId="0" applyFill="1" applyBorder="1" applyAlignment="1"/>
    <xf numFmtId="0" fontId="4" fillId="2" borderId="0" xfId="0" applyFont="1" applyFill="1" applyBorder="1"/>
    <xf numFmtId="0" fontId="5" fillId="3" borderId="1" xfId="0" applyFont="1" applyFill="1" applyBorder="1" applyAlignment="1">
      <alignment horizontal="justify" vertical="top"/>
    </xf>
    <xf numFmtId="0" fontId="5" fillId="3" borderId="1" xfId="0" applyFont="1" applyFill="1" applyBorder="1" applyAlignment="1">
      <alignment wrapText="1"/>
    </xf>
    <xf numFmtId="0" fontId="0" fillId="3" borderId="1" xfId="0" applyFill="1" applyBorder="1"/>
    <xf numFmtId="10" fontId="0" fillId="0" borderId="0" xfId="0" applyNumberFormat="1"/>
    <xf numFmtId="167" fontId="0" fillId="0" borderId="0" xfId="2" applyNumberFormat="1" applyFont="1"/>
    <xf numFmtId="9" fontId="0" fillId="0" borderId="0" xfId="3" applyFont="1"/>
    <xf numFmtId="0" fontId="7" fillId="2" borderId="0" xfId="4" applyFill="1"/>
  </cellXfs>
  <cellStyles count="5">
    <cellStyle name="Lien hypertexte" xfId="4" builtinId="8"/>
    <cellStyle name="Milliers" xfId="1" builtinId="3"/>
    <cellStyle name="Monétaire" xfId="2" builtinId="4"/>
    <cellStyle name="Normal" xfId="0" builtinId="0"/>
    <cellStyle name="Pourcentage" xfId="3" builtinId="5"/>
  </cellStyles>
  <dxfs count="30">
    <dxf>
      <numFmt numFmtId="169" formatCode="0.000%"/>
    </dxf>
    <dxf>
      <numFmt numFmtId="170" formatCode="0.0000%"/>
    </dxf>
    <dxf>
      <numFmt numFmtId="169" formatCode="0.000%"/>
    </dxf>
    <dxf>
      <numFmt numFmtId="14" formatCode="0.00%"/>
    </dxf>
    <dxf>
      <numFmt numFmtId="168" formatCode="0.0%"/>
    </dxf>
    <dxf>
      <numFmt numFmtId="13" formatCode="0%"/>
    </dxf>
    <dxf>
      <numFmt numFmtId="0" formatCode="General"/>
    </dxf>
    <dxf>
      <numFmt numFmtId="169" formatCode="0.000%"/>
    </dxf>
    <dxf>
      <numFmt numFmtId="170" formatCode="0.0000%"/>
    </dxf>
    <dxf>
      <numFmt numFmtId="169" formatCode="0.000%"/>
    </dxf>
    <dxf>
      <numFmt numFmtId="14" formatCode="0.00%"/>
    </dxf>
    <dxf>
      <numFmt numFmtId="168" formatCode="0.0%"/>
    </dxf>
    <dxf>
      <numFmt numFmtId="13" formatCode="0%"/>
    </dxf>
    <dxf>
      <numFmt numFmtId="0" formatCode="General"/>
    </dxf>
    <dxf>
      <numFmt numFmtId="169" formatCode="0.000%"/>
    </dxf>
    <dxf>
      <numFmt numFmtId="170" formatCode="0.0000%"/>
    </dxf>
    <dxf>
      <numFmt numFmtId="169" formatCode="0.000%"/>
    </dxf>
    <dxf>
      <numFmt numFmtId="14" formatCode="0.00%"/>
    </dxf>
    <dxf>
      <numFmt numFmtId="168" formatCode="0.0%"/>
    </dxf>
    <dxf>
      <numFmt numFmtId="13" formatCode="0%"/>
    </dxf>
    <dxf>
      <numFmt numFmtId="0" formatCode="General"/>
    </dxf>
    <dxf>
      <numFmt numFmtId="13" formatCode="0%"/>
    </dxf>
    <dxf>
      <numFmt numFmtId="168" formatCode="0.0%"/>
    </dxf>
    <dxf>
      <numFmt numFmtId="0" formatCode="General"/>
    </dxf>
    <dxf>
      <numFmt numFmtId="13" formatCode="0%"/>
    </dxf>
    <dxf>
      <numFmt numFmtId="168" formatCode="0.0%"/>
    </dxf>
    <dxf>
      <numFmt numFmtId="14" formatCode="0.00%"/>
    </dxf>
    <dxf>
      <numFmt numFmtId="169" formatCode="0.000%"/>
    </dxf>
    <dxf>
      <numFmt numFmtId="170" formatCode="0.0000%"/>
    </dxf>
    <dxf>
      <numFmt numFmtId="169" formatCode="0.00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7/relationships/slicerCache" Target="slicerCaches/slicerCache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microsoft.com/office/2007/relationships/slicerCache" Target="slicerCaches/slicerCach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[Dashboard.xlsm]Transformation data!Tableau croisé dynamique2</c:name>
    <c:fmtId val="17"/>
  </c:pivotSource>
  <c:chart>
    <c:autoTitleDeleted val="0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</c:pivotFmt>
      <c:pivotFmt>
        <c:idx val="16"/>
      </c:pivotFmt>
      <c:pivotFmt>
        <c:idx val="17"/>
      </c:pivotFmt>
      <c:pivotFmt>
        <c:idx val="18"/>
      </c:pivotFmt>
      <c:pivotFmt>
        <c:idx val="19"/>
      </c:pivotFmt>
      <c:pivotFmt>
        <c:idx val="20"/>
      </c:pivotFmt>
      <c:pivotFmt>
        <c:idx val="21"/>
      </c:pivotFmt>
      <c:pivotFmt>
        <c:idx val="22"/>
      </c:pivotFmt>
      <c:pivotFmt>
        <c:idx val="23"/>
      </c:pivotFmt>
      <c:pivotFmt>
        <c:idx val="24"/>
      </c:pivotFmt>
      <c:pivotFmt>
        <c:idx val="25"/>
      </c:pivotFmt>
      <c:pivotFmt>
        <c:idx val="26"/>
      </c:pivotFmt>
      <c:pivotFmt>
        <c:idx val="27"/>
      </c:pivotFmt>
      <c:pivotFmt>
        <c:idx val="28"/>
      </c:pivotFmt>
      <c:pivotFmt>
        <c:idx val="29"/>
      </c:pivotFmt>
      <c:pivotFmt>
        <c:idx val="30"/>
      </c:pivotFmt>
      <c:pivotFmt>
        <c:idx val="31"/>
      </c:pivotFmt>
      <c:pivotFmt>
        <c:idx val="32"/>
      </c:pivotFmt>
      <c:pivotFmt>
        <c:idx val="33"/>
      </c:pivotFmt>
      <c:pivotFmt>
        <c:idx val="34"/>
      </c:pivotFmt>
      <c:pivotFmt>
        <c:idx val="35"/>
      </c:pivotFmt>
      <c:pivotFmt>
        <c:idx val="36"/>
      </c:pivotFmt>
      <c:pivotFmt>
        <c:idx val="37"/>
      </c:pivotFmt>
      <c:pivotFmt>
        <c:idx val="38"/>
      </c:pivotFmt>
      <c:pivotFmt>
        <c:idx val="39"/>
      </c:pivotFmt>
      <c:pivotFmt>
        <c:idx val="40"/>
      </c:pivotFmt>
      <c:pivotFmt>
        <c:idx val="41"/>
      </c:pivotFmt>
      <c:pivotFmt>
        <c:idx val="42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</c:pivotFmt>
      <c:pivotFmt>
        <c:idx val="43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</c:pivotFmt>
      <c:pivotFmt>
        <c:idx val="44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</c:pivotFmt>
      <c:pivotFmt>
        <c:idx val="45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</c:pivotFmt>
      <c:pivotFmt>
        <c:idx val="46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</c:pivotFmt>
      <c:pivotFmt>
        <c:idx val="47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</c:pivotFmt>
      <c:pivotFmt>
        <c:idx val="48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15875" cap="rnd" cmpd="sng" algn="ctr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9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15875" cap="rnd" cmpd="sng" algn="ctr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0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15875" cap="rnd" cmpd="sng" algn="ctr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1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15875" cap="rnd" cmpd="sng" algn="ctr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2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15875" cap="rnd" cmpd="sng" algn="ctr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3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15875" cap="rnd" cmpd="sng" algn="ctr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4"/>
        <c:spPr>
          <a:ln w="158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5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15875" cap="rnd" cmpd="sng" algn="ctr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6"/>
        <c:spPr>
          <a:ln w="158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7"/>
        <c:spPr>
          <a:ln w="158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8"/>
        <c:spPr>
          <a:ln w="158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9"/>
        <c:spPr>
          <a:ln w="158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0"/>
        <c:spPr>
          <a:ln w="158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'Transformation data'!$B$34:$B$35</c:f>
              <c:strCache>
                <c:ptCount val="1"/>
                <c:pt idx="0">
                  <c:v>cyclone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'Transformation data'!$A$36:$A$39</c:f>
              <c:strCache>
                <c:ptCount val="3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</c:strCache>
            </c:strRef>
          </c:cat>
          <c:val>
            <c:numRef>
              <c:f>'Transformation data'!$B$36:$B$39</c:f>
              <c:numCache>
                <c:formatCode>General</c:formatCode>
                <c:ptCount val="3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2338-4636-B60A-6838AD04494D}"/>
            </c:ext>
          </c:extLst>
        </c:ser>
        <c:ser>
          <c:idx val="1"/>
          <c:order val="1"/>
          <c:tx>
            <c:strRef>
              <c:f>'Transformation data'!$C$34:$C$35</c:f>
              <c:strCache>
                <c:ptCount val="1"/>
                <c:pt idx="0">
                  <c:v>ouragan</c:v>
                </c:pt>
              </c:strCache>
            </c:strRef>
          </c:tx>
          <c:spPr>
            <a:ln w="158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'Transformation data'!$A$36:$A$39</c:f>
              <c:strCache>
                <c:ptCount val="3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</c:strCache>
            </c:strRef>
          </c:cat>
          <c:val>
            <c:numRef>
              <c:f>'Transformation data'!$C$36:$C$39</c:f>
              <c:numCache>
                <c:formatCode>General</c:formatCode>
                <c:ptCount val="3"/>
                <c:pt idx="0">
                  <c:v>1353</c:v>
                </c:pt>
                <c:pt idx="1">
                  <c:v>399</c:v>
                </c:pt>
                <c:pt idx="2">
                  <c:v>452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3A-49D5-BDDB-F8CB003DB285}"/>
            </c:ext>
          </c:extLst>
        </c:ser>
        <c:ser>
          <c:idx val="2"/>
          <c:order val="2"/>
          <c:tx>
            <c:strRef>
              <c:f>'Transformation data'!$D$34:$D$35</c:f>
              <c:strCache>
                <c:ptCount val="1"/>
                <c:pt idx="0">
                  <c:v>seisme</c:v>
                </c:pt>
              </c:strCache>
            </c:strRef>
          </c:tx>
          <c:spPr>
            <a:ln w="158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'Transformation data'!$A$36:$A$39</c:f>
              <c:strCache>
                <c:ptCount val="3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</c:strCache>
            </c:strRef>
          </c:cat>
          <c:val>
            <c:numRef>
              <c:f>'Transformation data'!$D$36:$D$39</c:f>
              <c:numCache>
                <c:formatCode>General</c:formatCode>
                <c:ptCount val="3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43A-49D5-BDDB-F8CB003DB285}"/>
            </c:ext>
          </c:extLst>
        </c:ser>
        <c:ser>
          <c:idx val="3"/>
          <c:order val="3"/>
          <c:tx>
            <c:strRef>
              <c:f>'Transformation data'!$E$34:$E$35</c:f>
              <c:strCache>
                <c:ptCount val="1"/>
                <c:pt idx="0">
                  <c:v>tremblement de terre</c:v>
                </c:pt>
              </c:strCache>
            </c:strRef>
          </c:tx>
          <c:spPr>
            <a:ln w="158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'Transformation data'!$A$36:$A$39</c:f>
              <c:strCache>
                <c:ptCount val="3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</c:strCache>
            </c:strRef>
          </c:cat>
          <c:val>
            <c:numRef>
              <c:f>'Transformation data'!$E$36:$E$39</c:f>
              <c:numCache>
                <c:formatCode>General</c:formatCode>
                <c:ptCount val="3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43A-49D5-BDDB-F8CB003DB285}"/>
            </c:ext>
          </c:extLst>
        </c:ser>
        <c:ser>
          <c:idx val="4"/>
          <c:order val="4"/>
          <c:tx>
            <c:strRef>
              <c:f>'Transformation data'!$F$34:$F$35</c:f>
              <c:strCache>
                <c:ptCount val="1"/>
                <c:pt idx="0">
                  <c:v>typhon</c:v>
                </c:pt>
              </c:strCache>
            </c:strRef>
          </c:tx>
          <c:spPr>
            <a:ln w="158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'Transformation data'!$A$36:$A$39</c:f>
              <c:strCache>
                <c:ptCount val="3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</c:strCache>
            </c:strRef>
          </c:cat>
          <c:val>
            <c:numRef>
              <c:f>'Transformation data'!$F$36:$F$39</c:f>
              <c:numCache>
                <c:formatCode>General</c:formatCode>
                <c:ptCount val="3"/>
                <c:pt idx="0">
                  <c:v>4490</c:v>
                </c:pt>
                <c:pt idx="1">
                  <c:v>711</c:v>
                </c:pt>
                <c:pt idx="2">
                  <c:v>198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43A-49D5-BDDB-F8CB003DB285}"/>
            </c:ext>
          </c:extLst>
        </c:ser>
        <c:ser>
          <c:idx val="5"/>
          <c:order val="5"/>
          <c:tx>
            <c:strRef>
              <c:f>'Transformation data'!$G$34:$G$35</c:f>
              <c:strCache>
                <c:ptCount val="1"/>
                <c:pt idx="0">
                  <c:v>inondation</c:v>
                </c:pt>
              </c:strCache>
            </c:strRef>
          </c:tx>
          <c:spPr>
            <a:ln w="158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'Transformation data'!$A$36:$A$39</c:f>
              <c:strCache>
                <c:ptCount val="3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</c:strCache>
            </c:strRef>
          </c:cat>
          <c:val>
            <c:numRef>
              <c:f>'Transformation data'!$G$36:$G$39</c:f>
              <c:numCache>
                <c:formatCode>General</c:formatCode>
                <c:ptCount val="3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43A-49D5-BDDB-F8CB003DB2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45852351"/>
        <c:axId val="545849855"/>
      </c:lineChart>
      <c:catAx>
        <c:axId val="54585235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45849855"/>
        <c:crosses val="autoZero"/>
        <c:auto val="1"/>
        <c:lblAlgn val="ctr"/>
        <c:lblOffset val="100"/>
        <c:noMultiLvlLbl val="0"/>
      </c:catAx>
      <c:valAx>
        <c:axId val="545849855"/>
        <c:scaling>
          <c:orientation val="minMax"/>
          <c:max val="10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4585235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[Dashboard.xlsm]Transformation data!Tableau croisé dynamique3</c:name>
    <c:fmtId val="13"/>
  </c:pivotSource>
  <c:chart>
    <c:autoTitleDeleted val="0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</c:pivotFmt>
      <c:pivotFmt>
        <c:idx val="16"/>
      </c:pivotFmt>
      <c:pivotFmt>
        <c:idx val="17"/>
      </c:pivotFmt>
      <c:pivotFmt>
        <c:idx val="18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</c:pivotFmt>
      <c:pivotFmt>
        <c:idx val="19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</c:pivotFmt>
      <c:pivotFmt>
        <c:idx val="20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</c:pivotFmt>
      <c:pivotFmt>
        <c:idx val="21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</c:pivotFmt>
      <c:pivotFmt>
        <c:idx val="22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</c:pivotFmt>
      <c:pivotFmt>
        <c:idx val="23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</c:pivotFmt>
      <c:pivotFmt>
        <c:idx val="24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15875" cap="rnd" cmpd="sng" algn="ctr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5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15875" cap="rnd" cmpd="sng" algn="ctr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6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15875" cap="rnd" cmpd="sng" algn="ctr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7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15875" cap="rnd" cmpd="sng" algn="ctr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15875" cap="rnd" cmpd="sng" algn="ctr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9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15875" cap="rnd" cmpd="sng" algn="ctr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0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15875" cap="rnd" cmpd="sng" algn="ctr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1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15875" cap="rnd" cmpd="sng" algn="ctr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2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15875" cap="rnd" cmpd="sng" algn="ctr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15875" cap="rnd" cmpd="sng" algn="ctr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4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15875" cap="rnd" cmpd="sng" algn="ctr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5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15875" cap="rnd" cmpd="sng" algn="ctr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6"/>
        <c:spPr>
          <a:ln w="158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7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15875" cap="rnd" cmpd="sng" algn="ctr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8"/>
        <c:spPr>
          <a:ln w="158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9"/>
        <c:spPr>
          <a:ln w="158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0"/>
        <c:spPr>
          <a:ln w="158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1"/>
        <c:spPr>
          <a:ln w="158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2"/>
        <c:spPr>
          <a:ln w="158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'Transformation data'!$B$59:$B$60</c:f>
              <c:strCache>
                <c:ptCount val="1"/>
                <c:pt idx="0">
                  <c:v>cyclone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'Transformation data'!$A$61:$A$64</c:f>
              <c:strCache>
                <c:ptCount val="3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</c:strCache>
            </c:strRef>
          </c:cat>
          <c:val>
            <c:numRef>
              <c:f>'Transformation data'!$B$61:$B$64</c:f>
              <c:numCache>
                <c:formatCode>General</c:formatCode>
                <c:ptCount val="3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D790-46C3-99BF-2A7FF710AD6D}"/>
            </c:ext>
          </c:extLst>
        </c:ser>
        <c:ser>
          <c:idx val="1"/>
          <c:order val="1"/>
          <c:tx>
            <c:strRef>
              <c:f>'Transformation data'!$C$59:$C$60</c:f>
              <c:strCache>
                <c:ptCount val="1"/>
                <c:pt idx="0">
                  <c:v>ouragan</c:v>
                </c:pt>
              </c:strCache>
            </c:strRef>
          </c:tx>
          <c:spPr>
            <a:ln w="158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'Transformation data'!$A$61:$A$64</c:f>
              <c:strCache>
                <c:ptCount val="3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</c:strCache>
            </c:strRef>
          </c:cat>
          <c:val>
            <c:numRef>
              <c:f>'Transformation data'!$C$61:$C$64</c:f>
              <c:numCache>
                <c:formatCode>General</c:formatCode>
                <c:ptCount val="3"/>
                <c:pt idx="0">
                  <c:v>4871647614</c:v>
                </c:pt>
                <c:pt idx="1">
                  <c:v>17931163558</c:v>
                </c:pt>
                <c:pt idx="2">
                  <c:v>7438693043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805-40C3-9E15-4443D4EE4DCE}"/>
            </c:ext>
          </c:extLst>
        </c:ser>
        <c:ser>
          <c:idx val="2"/>
          <c:order val="2"/>
          <c:tx>
            <c:strRef>
              <c:f>'Transformation data'!$D$59:$D$60</c:f>
              <c:strCache>
                <c:ptCount val="1"/>
                <c:pt idx="0">
                  <c:v>seisme</c:v>
                </c:pt>
              </c:strCache>
            </c:strRef>
          </c:tx>
          <c:spPr>
            <a:ln w="158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'Transformation data'!$A$61:$A$64</c:f>
              <c:strCache>
                <c:ptCount val="3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</c:strCache>
            </c:strRef>
          </c:cat>
          <c:val>
            <c:numRef>
              <c:f>'Transformation data'!$D$61:$D$64</c:f>
              <c:numCache>
                <c:formatCode>General</c:formatCode>
                <c:ptCount val="3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805-40C3-9E15-4443D4EE4DCE}"/>
            </c:ext>
          </c:extLst>
        </c:ser>
        <c:ser>
          <c:idx val="3"/>
          <c:order val="3"/>
          <c:tx>
            <c:strRef>
              <c:f>'Transformation data'!$E$59:$E$60</c:f>
              <c:strCache>
                <c:ptCount val="1"/>
                <c:pt idx="0">
                  <c:v>tremblement de terre</c:v>
                </c:pt>
              </c:strCache>
            </c:strRef>
          </c:tx>
          <c:spPr>
            <a:ln w="158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'Transformation data'!$A$61:$A$64</c:f>
              <c:strCache>
                <c:ptCount val="3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</c:strCache>
            </c:strRef>
          </c:cat>
          <c:val>
            <c:numRef>
              <c:f>'Transformation data'!$E$61:$E$64</c:f>
              <c:numCache>
                <c:formatCode>General</c:formatCode>
                <c:ptCount val="3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805-40C3-9E15-4443D4EE4DCE}"/>
            </c:ext>
          </c:extLst>
        </c:ser>
        <c:ser>
          <c:idx val="4"/>
          <c:order val="4"/>
          <c:tx>
            <c:strRef>
              <c:f>'Transformation data'!$F$59:$F$60</c:f>
              <c:strCache>
                <c:ptCount val="1"/>
                <c:pt idx="0">
                  <c:v>typhon</c:v>
                </c:pt>
              </c:strCache>
            </c:strRef>
          </c:tx>
          <c:spPr>
            <a:ln w="158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'Transformation data'!$A$61:$A$64</c:f>
              <c:strCache>
                <c:ptCount val="3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</c:strCache>
            </c:strRef>
          </c:cat>
          <c:val>
            <c:numRef>
              <c:f>'Transformation data'!$F$61:$F$64</c:f>
              <c:numCache>
                <c:formatCode>General</c:formatCode>
                <c:ptCount val="3"/>
                <c:pt idx="0">
                  <c:v>679586</c:v>
                </c:pt>
                <c:pt idx="1">
                  <c:v>6226365697</c:v>
                </c:pt>
                <c:pt idx="2">
                  <c:v>4760042872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805-40C3-9E15-4443D4EE4DCE}"/>
            </c:ext>
          </c:extLst>
        </c:ser>
        <c:ser>
          <c:idx val="5"/>
          <c:order val="5"/>
          <c:tx>
            <c:strRef>
              <c:f>'Transformation data'!$G$59:$G$60</c:f>
              <c:strCache>
                <c:ptCount val="1"/>
                <c:pt idx="0">
                  <c:v>inondation</c:v>
                </c:pt>
              </c:strCache>
            </c:strRef>
          </c:tx>
          <c:spPr>
            <a:ln w="158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'Transformation data'!$A$61:$A$64</c:f>
              <c:strCache>
                <c:ptCount val="3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</c:strCache>
            </c:strRef>
          </c:cat>
          <c:val>
            <c:numRef>
              <c:f>'Transformation data'!$G$61:$G$64</c:f>
              <c:numCache>
                <c:formatCode>General</c:formatCode>
                <c:ptCount val="3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805-40C3-9E15-4443D4EE4D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7543487"/>
        <c:axId val="587542655"/>
      </c:lineChart>
      <c:catAx>
        <c:axId val="58754348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87542655"/>
        <c:crosses val="autoZero"/>
        <c:auto val="1"/>
        <c:lblAlgn val="ctr"/>
        <c:lblOffset val="100"/>
        <c:noMultiLvlLbl val="0"/>
      </c:catAx>
      <c:valAx>
        <c:axId val="587542655"/>
        <c:scaling>
          <c:orientation val="minMax"/>
          <c:max val="30000000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875434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[Dashboard.xlsm]Transformation data!Tableau croisé dynamique4</c:name>
    <c:fmtId val="10"/>
  </c:pivotSource>
  <c:chart>
    <c:autoTitleDeleted val="1"/>
    <c:pivotFmts>
      <c:pivotFmt>
        <c:idx val="0"/>
      </c:pivotFmt>
      <c:pivotFmt>
        <c:idx val="1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'Transformation data'!$B$83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'Transformation data'!$A$84:$A$103</c:f>
              <c:strCache>
                <c:ptCount val="19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</c:strCache>
            </c:strRef>
          </c:cat>
          <c:val>
            <c:numRef>
              <c:f>'Transformation data'!$B$84:$B$103</c:f>
              <c:numCache>
                <c:formatCode>0%</c:formatCode>
                <c:ptCount val="19"/>
                <c:pt idx="0">
                  <c:v>8.4528973417862304E-3</c:v>
                </c:pt>
                <c:pt idx="1">
                  <c:v>1.3124235346457569E-2</c:v>
                </c:pt>
                <c:pt idx="2">
                  <c:v>8.0080080080080079E-3</c:v>
                </c:pt>
                <c:pt idx="3">
                  <c:v>6.7845623401178957E-3</c:v>
                </c:pt>
                <c:pt idx="4">
                  <c:v>1.3680347013680347E-2</c:v>
                </c:pt>
                <c:pt idx="5">
                  <c:v>3.3366700033366697E-2</c:v>
                </c:pt>
                <c:pt idx="6">
                  <c:v>1.4570125681236792E-2</c:v>
                </c:pt>
                <c:pt idx="7">
                  <c:v>1.2012012012012012E-2</c:v>
                </c:pt>
                <c:pt idx="8">
                  <c:v>5.6834612390167946E-2</c:v>
                </c:pt>
                <c:pt idx="9">
                  <c:v>2.5803581359136914E-2</c:v>
                </c:pt>
                <c:pt idx="10">
                  <c:v>7.2294516738961187E-2</c:v>
                </c:pt>
                <c:pt idx="11">
                  <c:v>0.10199087976865755</c:v>
                </c:pt>
                <c:pt idx="12">
                  <c:v>9.7319541763986203E-2</c:v>
                </c:pt>
                <c:pt idx="13">
                  <c:v>0.10899788677566455</c:v>
                </c:pt>
                <c:pt idx="14">
                  <c:v>7.8856634412189971E-2</c:v>
                </c:pt>
                <c:pt idx="15">
                  <c:v>8.0191302413524637E-2</c:v>
                </c:pt>
                <c:pt idx="16">
                  <c:v>9.0201312423534644E-2</c:v>
                </c:pt>
                <c:pt idx="17">
                  <c:v>0.16683350016683349</c:v>
                </c:pt>
                <c:pt idx="18">
                  <c:v>1.0677344010677344E-2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08-4F1C-B32F-6A66DE8667D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015606416"/>
        <c:axId val="1015606832"/>
      </c:barChart>
      <c:catAx>
        <c:axId val="10156064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15606832"/>
        <c:crosses val="autoZero"/>
        <c:auto val="1"/>
        <c:lblAlgn val="ctr"/>
        <c:lblOffset val="100"/>
        <c:noMultiLvlLbl val="0"/>
      </c:catAx>
      <c:valAx>
        <c:axId val="1015606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15606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5172320351847913"/>
          <c:y val="0.11342592592592593"/>
          <c:w val="0.30090090090090088"/>
          <c:h val="0.77314814814814814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B888-46EE-BEF4-2FE452DD3C8D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B888-46EE-BEF4-2FE452DD3C8D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3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3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3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B888-46EE-BEF4-2FE452DD3C8D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4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4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B888-46EE-BEF4-2FE452DD3C8D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9-B888-46EE-BEF4-2FE452DD3C8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Data!$H$3:$H$7</c:f>
              <c:strCache>
                <c:ptCount val="5"/>
                <c:pt idx="0">
                  <c:v>Nouvel Obs</c:v>
                </c:pt>
                <c:pt idx="1">
                  <c:v>Le Monde</c:v>
                </c:pt>
                <c:pt idx="2">
                  <c:v>Le Point</c:v>
                </c:pt>
                <c:pt idx="3">
                  <c:v>Libération</c:v>
                </c:pt>
                <c:pt idx="4">
                  <c:v>Le Figaro</c:v>
                </c:pt>
              </c:strCache>
            </c:strRef>
          </c:cat>
          <c:val>
            <c:numRef>
              <c:f>Data!$J$3:$J$7</c:f>
              <c:numCache>
                <c:formatCode>0%</c:formatCode>
                <c:ptCount val="5"/>
                <c:pt idx="0">
                  <c:v>0.16222512113306001</c:v>
                </c:pt>
                <c:pt idx="1">
                  <c:v>0.20070816250465898</c:v>
                </c:pt>
                <c:pt idx="2">
                  <c:v>0.36982855013045096</c:v>
                </c:pt>
                <c:pt idx="3">
                  <c:v>3.3730898248229592E-2</c:v>
                </c:pt>
                <c:pt idx="4">
                  <c:v>0.23350726798360044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888-46EE-BEF4-2FE452DD3C8D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4769965240831382"/>
          <c:y val="0.2954268737241178"/>
          <c:w val="0.125382279917713"/>
          <c:h val="0.4466590113735783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[Dashboard.xlsm]Transformation data!Tableau croisé dynamique1</c:name>
    <c:fmtId val="9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'Transformation data'!$B$5:$B$6</c:f>
              <c:strCache>
                <c:ptCount val="1"/>
                <c:pt idx="0">
                  <c:v>cyclone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'Transformation data'!$A$7:$A$10</c:f>
              <c:strCache>
                <c:ptCount val="3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</c:strCache>
            </c:strRef>
          </c:cat>
          <c:val>
            <c:numRef>
              <c:f>'Transformation data'!$B$7:$B$10</c:f>
              <c:numCache>
                <c:formatCode>General</c:formatCode>
                <c:ptCount val="3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80B-420D-AEE5-12089207D958}"/>
            </c:ext>
          </c:extLst>
        </c:ser>
        <c:ser>
          <c:idx val="1"/>
          <c:order val="1"/>
          <c:tx>
            <c:strRef>
              <c:f>'Transformation data'!$C$5:$C$6</c:f>
              <c:strCache>
                <c:ptCount val="1"/>
                <c:pt idx="0">
                  <c:v>ouragan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'Transformation data'!$A$7:$A$10</c:f>
              <c:strCache>
                <c:ptCount val="3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</c:strCache>
            </c:strRef>
          </c:cat>
          <c:val>
            <c:numRef>
              <c:f>'Transformation data'!$C$7:$C$10</c:f>
              <c:numCache>
                <c:formatCode>General</c:formatCode>
                <c:ptCount val="3"/>
                <c:pt idx="0">
                  <c:v>65</c:v>
                </c:pt>
                <c:pt idx="1">
                  <c:v>87</c:v>
                </c:pt>
                <c:pt idx="2">
                  <c:v>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D5-4DE4-A230-0A26B450BC7E}"/>
            </c:ext>
          </c:extLst>
        </c:ser>
        <c:ser>
          <c:idx val="2"/>
          <c:order val="2"/>
          <c:tx>
            <c:strRef>
              <c:f>'Transformation data'!$D$5:$D$6</c:f>
              <c:strCache>
                <c:ptCount val="1"/>
                <c:pt idx="0">
                  <c:v>seisme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'Transformation data'!$A$7:$A$10</c:f>
              <c:strCache>
                <c:ptCount val="3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</c:strCache>
            </c:strRef>
          </c:cat>
          <c:val>
            <c:numRef>
              <c:f>'Transformation data'!$D$7:$D$10</c:f>
              <c:numCache>
                <c:formatCode>General</c:formatCode>
                <c:ptCount val="3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5D5-4DE4-A230-0A26B450BC7E}"/>
            </c:ext>
          </c:extLst>
        </c:ser>
        <c:ser>
          <c:idx val="3"/>
          <c:order val="3"/>
          <c:tx>
            <c:strRef>
              <c:f>'Transformation data'!$E$5:$E$6</c:f>
              <c:strCache>
                <c:ptCount val="1"/>
                <c:pt idx="0">
                  <c:v>tremblement de terre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'Transformation data'!$A$7:$A$10</c:f>
              <c:strCache>
                <c:ptCount val="3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</c:strCache>
            </c:strRef>
          </c:cat>
          <c:val>
            <c:numRef>
              <c:f>'Transformation data'!$E$7:$E$10</c:f>
              <c:numCache>
                <c:formatCode>General</c:formatCode>
                <c:ptCount val="3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5D5-4DE4-A230-0A26B450BC7E}"/>
            </c:ext>
          </c:extLst>
        </c:ser>
        <c:ser>
          <c:idx val="4"/>
          <c:order val="4"/>
          <c:tx>
            <c:strRef>
              <c:f>'Transformation data'!$F$5:$F$6</c:f>
              <c:strCache>
                <c:ptCount val="1"/>
                <c:pt idx="0">
                  <c:v>typhon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'Transformation data'!$A$7:$A$10</c:f>
              <c:strCache>
                <c:ptCount val="3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</c:strCache>
            </c:strRef>
          </c:cat>
          <c:val>
            <c:numRef>
              <c:f>'Transformation data'!$F$7:$F$10</c:f>
              <c:numCache>
                <c:formatCode>General</c:formatCode>
                <c:ptCount val="3"/>
                <c:pt idx="0">
                  <c:v>11</c:v>
                </c:pt>
                <c:pt idx="1">
                  <c:v>31</c:v>
                </c:pt>
                <c:pt idx="2">
                  <c:v>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5D5-4DE4-A230-0A26B450BC7E}"/>
            </c:ext>
          </c:extLst>
        </c:ser>
        <c:ser>
          <c:idx val="5"/>
          <c:order val="5"/>
          <c:tx>
            <c:strRef>
              <c:f>'Transformation data'!$G$5:$G$6</c:f>
              <c:strCache>
                <c:ptCount val="1"/>
                <c:pt idx="0">
                  <c:v>inondation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'Transformation data'!$A$7:$A$10</c:f>
              <c:strCache>
                <c:ptCount val="3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</c:strCache>
            </c:strRef>
          </c:cat>
          <c:val>
            <c:numRef>
              <c:f>'Transformation data'!$G$7:$G$10</c:f>
              <c:numCache>
                <c:formatCode>General</c:formatCode>
                <c:ptCount val="3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5D5-4DE4-A230-0A26B450BC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29734544"/>
        <c:axId val="2029735376"/>
      </c:lineChart>
      <c:catAx>
        <c:axId val="2029734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29735376"/>
        <c:crosses val="autoZero"/>
        <c:auto val="1"/>
        <c:lblAlgn val="ctr"/>
        <c:lblOffset val="100"/>
        <c:noMultiLvlLbl val="0"/>
      </c:catAx>
      <c:valAx>
        <c:axId val="2029735376"/>
        <c:scaling>
          <c:orientation val="minMax"/>
          <c:max val="65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297345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[Dashboard.xlsm]Transformation data!Tableau croisé dynamique5</c:name>
    <c:fmtId val="3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'Transformation data'!$B$107:$B$108</c:f>
              <c:strCache>
                <c:ptCount val="1"/>
                <c:pt idx="0">
                  <c:v>cyclone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'Transformation data'!$A$109:$A$121</c:f>
              <c:strCache>
                <c:ptCount val="12"/>
                <c:pt idx="0">
                  <c:v>Janvier</c:v>
                </c:pt>
                <c:pt idx="1">
                  <c:v>Février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Août</c:v>
                </c:pt>
                <c:pt idx="8">
                  <c:v>Septembre</c:v>
                </c:pt>
                <c:pt idx="9">
                  <c:v>Octobre</c:v>
                </c:pt>
                <c:pt idx="10">
                  <c:v>Novembre</c:v>
                </c:pt>
                <c:pt idx="11">
                  <c:v>Décembre</c:v>
                </c:pt>
              </c:strCache>
            </c:strRef>
          </c:cat>
          <c:val>
            <c:numRef>
              <c:f>'Transformation data'!$B$109:$B$121</c:f>
              <c:numCache>
                <c:formatCode>General</c:formatCode>
                <c:ptCount val="12"/>
                <c:pt idx="0">
                  <c:v>274</c:v>
                </c:pt>
                <c:pt idx="1">
                  <c:v>167</c:v>
                </c:pt>
                <c:pt idx="2">
                  <c:v>202</c:v>
                </c:pt>
                <c:pt idx="3">
                  <c:v>133</c:v>
                </c:pt>
                <c:pt idx="4">
                  <c:v>362</c:v>
                </c:pt>
                <c:pt idx="5">
                  <c:v>143</c:v>
                </c:pt>
                <c:pt idx="6">
                  <c:v>113</c:v>
                </c:pt>
                <c:pt idx="7">
                  <c:v>195</c:v>
                </c:pt>
                <c:pt idx="8">
                  <c:v>387</c:v>
                </c:pt>
                <c:pt idx="9">
                  <c:v>337</c:v>
                </c:pt>
                <c:pt idx="10">
                  <c:v>185</c:v>
                </c:pt>
                <c:pt idx="11">
                  <c:v>153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AC-4656-94D3-9A9A9D4E08C1}"/>
            </c:ext>
          </c:extLst>
        </c:ser>
        <c:ser>
          <c:idx val="1"/>
          <c:order val="1"/>
          <c:tx>
            <c:strRef>
              <c:f>'Transformation data'!$C$107:$C$108</c:f>
              <c:strCache>
                <c:ptCount val="1"/>
                <c:pt idx="0">
                  <c:v>ouragan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'Transformation data'!$A$109:$A$121</c:f>
              <c:strCache>
                <c:ptCount val="12"/>
                <c:pt idx="0">
                  <c:v>Janvier</c:v>
                </c:pt>
                <c:pt idx="1">
                  <c:v>Février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Août</c:v>
                </c:pt>
                <c:pt idx="8">
                  <c:v>Septembre</c:v>
                </c:pt>
                <c:pt idx="9">
                  <c:v>Octobre</c:v>
                </c:pt>
                <c:pt idx="10">
                  <c:v>Novembre</c:v>
                </c:pt>
                <c:pt idx="11">
                  <c:v>Décembre</c:v>
                </c:pt>
              </c:strCache>
            </c:strRef>
          </c:cat>
          <c:val>
            <c:numRef>
              <c:f>'Transformation data'!$C$109:$C$121</c:f>
              <c:numCache>
                <c:formatCode>General</c:formatCode>
                <c:ptCount val="12"/>
                <c:pt idx="0">
                  <c:v>117</c:v>
                </c:pt>
                <c:pt idx="1">
                  <c:v>81</c:v>
                </c:pt>
                <c:pt idx="2">
                  <c:v>82</c:v>
                </c:pt>
                <c:pt idx="3">
                  <c:v>89</c:v>
                </c:pt>
                <c:pt idx="4">
                  <c:v>84</c:v>
                </c:pt>
                <c:pt idx="5">
                  <c:v>93</c:v>
                </c:pt>
                <c:pt idx="6">
                  <c:v>104</c:v>
                </c:pt>
                <c:pt idx="7">
                  <c:v>364</c:v>
                </c:pt>
                <c:pt idx="8">
                  <c:v>782</c:v>
                </c:pt>
                <c:pt idx="9">
                  <c:v>423</c:v>
                </c:pt>
                <c:pt idx="10">
                  <c:v>246</c:v>
                </c:pt>
                <c:pt idx="11">
                  <c:v>102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4AC-4656-94D3-9A9A9D4E08C1}"/>
            </c:ext>
          </c:extLst>
        </c:ser>
        <c:ser>
          <c:idx val="2"/>
          <c:order val="2"/>
          <c:tx>
            <c:strRef>
              <c:f>'Transformation data'!$D$107:$D$108</c:f>
              <c:strCache>
                <c:ptCount val="1"/>
                <c:pt idx="0">
                  <c:v>seisme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'Transformation data'!$A$109:$A$121</c:f>
              <c:strCache>
                <c:ptCount val="12"/>
                <c:pt idx="0">
                  <c:v>Janvier</c:v>
                </c:pt>
                <c:pt idx="1">
                  <c:v>Février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Août</c:v>
                </c:pt>
                <c:pt idx="8">
                  <c:v>Septembre</c:v>
                </c:pt>
                <c:pt idx="9">
                  <c:v>Octobre</c:v>
                </c:pt>
                <c:pt idx="10">
                  <c:v>Novembre</c:v>
                </c:pt>
                <c:pt idx="11">
                  <c:v>Décembre</c:v>
                </c:pt>
              </c:strCache>
            </c:strRef>
          </c:cat>
          <c:val>
            <c:numRef>
              <c:f>'Transformation data'!$D$109:$D$121</c:f>
              <c:numCache>
                <c:formatCode>General</c:formatCode>
                <c:ptCount val="12"/>
                <c:pt idx="0">
                  <c:v>57</c:v>
                </c:pt>
                <c:pt idx="1">
                  <c:v>43</c:v>
                </c:pt>
                <c:pt idx="2">
                  <c:v>152</c:v>
                </c:pt>
                <c:pt idx="3">
                  <c:v>191</c:v>
                </c:pt>
                <c:pt idx="4">
                  <c:v>106</c:v>
                </c:pt>
                <c:pt idx="5">
                  <c:v>36</c:v>
                </c:pt>
                <c:pt idx="6">
                  <c:v>56</c:v>
                </c:pt>
                <c:pt idx="7">
                  <c:v>111</c:v>
                </c:pt>
                <c:pt idx="8">
                  <c:v>111</c:v>
                </c:pt>
                <c:pt idx="9">
                  <c:v>104</c:v>
                </c:pt>
                <c:pt idx="10">
                  <c:v>63</c:v>
                </c:pt>
                <c:pt idx="11">
                  <c:v>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4AC-4656-94D3-9A9A9D4E08C1}"/>
            </c:ext>
          </c:extLst>
        </c:ser>
        <c:ser>
          <c:idx val="3"/>
          <c:order val="3"/>
          <c:tx>
            <c:strRef>
              <c:f>'Transformation data'!$E$107:$E$108</c:f>
              <c:strCache>
                <c:ptCount val="1"/>
                <c:pt idx="0">
                  <c:v>tremblement de terre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'Transformation data'!$A$109:$A$121</c:f>
              <c:strCache>
                <c:ptCount val="12"/>
                <c:pt idx="0">
                  <c:v>Janvier</c:v>
                </c:pt>
                <c:pt idx="1">
                  <c:v>Février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Août</c:v>
                </c:pt>
                <c:pt idx="8">
                  <c:v>Septembre</c:v>
                </c:pt>
                <c:pt idx="9">
                  <c:v>Octobre</c:v>
                </c:pt>
                <c:pt idx="10">
                  <c:v>Novembre</c:v>
                </c:pt>
                <c:pt idx="11">
                  <c:v>Décembre</c:v>
                </c:pt>
              </c:strCache>
            </c:strRef>
          </c:cat>
          <c:val>
            <c:numRef>
              <c:f>'Transformation data'!$E$109:$E$121</c:f>
              <c:numCache>
                <c:formatCode>General</c:formatCode>
                <c:ptCount val="12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4">
                  <c:v>5</c:v>
                </c:pt>
                <c:pt idx="5">
                  <c:v>2</c:v>
                </c:pt>
                <c:pt idx="7">
                  <c:v>2</c:v>
                </c:pt>
                <c:pt idx="8">
                  <c:v>1</c:v>
                </c:pt>
                <c:pt idx="9">
                  <c:v>2</c:v>
                </c:pt>
                <c:pt idx="10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4AC-4656-94D3-9A9A9D4E08C1}"/>
            </c:ext>
          </c:extLst>
        </c:ser>
        <c:ser>
          <c:idx val="4"/>
          <c:order val="4"/>
          <c:tx>
            <c:strRef>
              <c:f>'Transformation data'!$F$107:$F$108</c:f>
              <c:strCache>
                <c:ptCount val="1"/>
                <c:pt idx="0">
                  <c:v>typhon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'Transformation data'!$A$109:$A$121</c:f>
              <c:strCache>
                <c:ptCount val="12"/>
                <c:pt idx="0">
                  <c:v>Janvier</c:v>
                </c:pt>
                <c:pt idx="1">
                  <c:v>Février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Août</c:v>
                </c:pt>
                <c:pt idx="8">
                  <c:v>Septembre</c:v>
                </c:pt>
                <c:pt idx="9">
                  <c:v>Octobre</c:v>
                </c:pt>
                <c:pt idx="10">
                  <c:v>Novembre</c:v>
                </c:pt>
                <c:pt idx="11">
                  <c:v>Décembre</c:v>
                </c:pt>
              </c:strCache>
            </c:strRef>
          </c:cat>
          <c:val>
            <c:numRef>
              <c:f>'Transformation data'!$F$109:$F$121</c:f>
              <c:numCache>
                <c:formatCode>General</c:formatCode>
                <c:ptCount val="12"/>
                <c:pt idx="0">
                  <c:v>39</c:v>
                </c:pt>
                <c:pt idx="1">
                  <c:v>48</c:v>
                </c:pt>
                <c:pt idx="2">
                  <c:v>46</c:v>
                </c:pt>
                <c:pt idx="3">
                  <c:v>42</c:v>
                </c:pt>
                <c:pt idx="4">
                  <c:v>82</c:v>
                </c:pt>
                <c:pt idx="5">
                  <c:v>49</c:v>
                </c:pt>
                <c:pt idx="6">
                  <c:v>148</c:v>
                </c:pt>
                <c:pt idx="7">
                  <c:v>195</c:v>
                </c:pt>
                <c:pt idx="8">
                  <c:v>195</c:v>
                </c:pt>
                <c:pt idx="9">
                  <c:v>215</c:v>
                </c:pt>
                <c:pt idx="10">
                  <c:v>308</c:v>
                </c:pt>
                <c:pt idx="11">
                  <c:v>209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4AC-4656-94D3-9A9A9D4E08C1}"/>
            </c:ext>
          </c:extLst>
        </c:ser>
        <c:ser>
          <c:idx val="5"/>
          <c:order val="5"/>
          <c:tx>
            <c:strRef>
              <c:f>'Transformation data'!$G$107:$G$108</c:f>
              <c:strCache>
                <c:ptCount val="1"/>
                <c:pt idx="0">
                  <c:v>inondation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'Transformation data'!$A$109:$A$121</c:f>
              <c:strCache>
                <c:ptCount val="12"/>
                <c:pt idx="0">
                  <c:v>Janvier</c:v>
                </c:pt>
                <c:pt idx="1">
                  <c:v>Février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Août</c:v>
                </c:pt>
                <c:pt idx="8">
                  <c:v>Septembre</c:v>
                </c:pt>
                <c:pt idx="9">
                  <c:v>Octobre</c:v>
                </c:pt>
                <c:pt idx="10">
                  <c:v>Novembre</c:v>
                </c:pt>
                <c:pt idx="11">
                  <c:v>Décembre</c:v>
                </c:pt>
              </c:strCache>
            </c:strRef>
          </c:cat>
          <c:val>
            <c:numRef>
              <c:f>'Transformation data'!$G$109:$G$121</c:f>
              <c:numCache>
                <c:formatCode>General</c:formatCode>
                <c:ptCount val="12"/>
                <c:pt idx="0">
                  <c:v>100</c:v>
                </c:pt>
                <c:pt idx="1">
                  <c:v>45</c:v>
                </c:pt>
                <c:pt idx="2">
                  <c:v>30</c:v>
                </c:pt>
                <c:pt idx="3">
                  <c:v>42</c:v>
                </c:pt>
                <c:pt idx="4">
                  <c:v>69</c:v>
                </c:pt>
                <c:pt idx="5">
                  <c:v>202</c:v>
                </c:pt>
                <c:pt idx="6">
                  <c:v>62</c:v>
                </c:pt>
                <c:pt idx="7">
                  <c:v>173</c:v>
                </c:pt>
                <c:pt idx="8">
                  <c:v>77</c:v>
                </c:pt>
                <c:pt idx="9">
                  <c:v>125</c:v>
                </c:pt>
                <c:pt idx="10">
                  <c:v>85</c:v>
                </c:pt>
                <c:pt idx="11">
                  <c:v>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F4AC-4656-94D3-9A9A9D4E08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35072576"/>
        <c:axId val="635072992"/>
      </c:lineChart>
      <c:catAx>
        <c:axId val="6350725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35072992"/>
        <c:crosses val="autoZero"/>
        <c:auto val="1"/>
        <c:lblAlgn val="ctr"/>
        <c:lblOffset val="100"/>
        <c:noMultiLvlLbl val="0"/>
      </c:catAx>
      <c:valAx>
        <c:axId val="635072992"/>
        <c:scaling>
          <c:orientation val="minMax"/>
          <c:max val="8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35072576"/>
        <c:crosses val="autoZero"/>
        <c:crossBetween val="between"/>
        <c:majorUnit val="100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Data!$N$12</c:f>
              <c:strCache>
                <c:ptCount val="1"/>
                <c:pt idx="0">
                  <c:v>Nb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Data!$M$13:$M$16</c:f>
              <c:strCache>
                <c:ptCount val="4"/>
                <c:pt idx="0">
                  <c:v>Printemps</c:v>
                </c:pt>
                <c:pt idx="1">
                  <c:v>Été</c:v>
                </c:pt>
                <c:pt idx="2">
                  <c:v>Automne</c:v>
                </c:pt>
                <c:pt idx="3">
                  <c:v>Hiver</c:v>
                </c:pt>
              </c:strCache>
            </c:strRef>
          </c:cat>
          <c:val>
            <c:numRef>
              <c:f>Data!$N$13:$N$16</c:f>
              <c:numCache>
                <c:formatCode>General</c:formatCode>
                <c:ptCount val="4"/>
                <c:pt idx="0">
                  <c:v>1718</c:v>
                </c:pt>
                <c:pt idx="1">
                  <c:v>2048</c:v>
                </c:pt>
                <c:pt idx="2">
                  <c:v>3649</c:v>
                </c:pt>
                <c:pt idx="3">
                  <c:v>1548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58-44E0-9CD5-39189EC81F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622680720"/>
        <c:axId val="622682384"/>
      </c:barChart>
      <c:catAx>
        <c:axId val="6226807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22682384"/>
        <c:crosses val="autoZero"/>
        <c:auto val="1"/>
        <c:lblAlgn val="ctr"/>
        <c:lblOffset val="100"/>
        <c:noMultiLvlLbl val="0"/>
      </c:catAx>
      <c:valAx>
        <c:axId val="622682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226807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0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80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54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/>
    <cs:fillRef idx="2">
      <cs:styleClr val="auto"/>
    </cs:fillRef>
    <cs:effectRef idx="1"/>
    <cs:fontRef idx="minor">
      <a:schemeClr val="dk1"/>
    </cs:fontRef>
    <cs:spPr/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image" Target="../media/image7.png"/><Relationship Id="rId1" Type="http://schemas.openxmlformats.org/officeDocument/2006/relationships/image" Target="../media/image6.png"/><Relationship Id="rId6" Type="http://schemas.openxmlformats.org/officeDocument/2006/relationships/image" Target="../media/image11.png"/><Relationship Id="rId5" Type="http://schemas.openxmlformats.org/officeDocument/2006/relationships/image" Target="../media/image10.png"/><Relationship Id="rId4" Type="http://schemas.openxmlformats.org/officeDocument/2006/relationships/image" Target="../media/image9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png"/><Relationship Id="rId2" Type="http://schemas.openxmlformats.org/officeDocument/2006/relationships/image" Target="../media/image13.png"/><Relationship Id="rId1" Type="http://schemas.openxmlformats.org/officeDocument/2006/relationships/image" Target="../media/image12.png"/><Relationship Id="rId6" Type="http://schemas.openxmlformats.org/officeDocument/2006/relationships/image" Target="../media/image17.png"/><Relationship Id="rId5" Type="http://schemas.openxmlformats.org/officeDocument/2006/relationships/image" Target="../media/image16.png"/><Relationship Id="rId4" Type="http://schemas.openxmlformats.org/officeDocument/2006/relationships/image" Target="../media/image1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371475</xdr:colOff>
      <xdr:row>1</xdr:row>
      <xdr:rowOff>19050</xdr:rowOff>
    </xdr:from>
    <xdr:to>
      <xdr:col>6</xdr:col>
      <xdr:colOff>495300</xdr:colOff>
      <xdr:row>3</xdr:row>
      <xdr:rowOff>180975</xdr:rowOff>
    </xdr:to>
    <xdr:pic>
      <xdr:nvPicPr>
        <xdr:cNvPr id="2" name="Image 1" descr="https://lh3.googleusercontent.com/zfKOc4fCnY4eznwsO6F1u2b37EhcnCopOaqr1UvaFp5h5QNnboY5LkAp8SYDJh7UZRvjPA9nAE9JhAgOG22kXfBUVlu0XL4IPmHdIn4rkUUOdGvPrtf1_0T1BYdP870gkQZOVb9U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53575" y="209550"/>
          <a:ext cx="2409825" cy="714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238125</xdr:colOff>
      <xdr:row>0</xdr:row>
      <xdr:rowOff>171450</xdr:rowOff>
    </xdr:from>
    <xdr:to>
      <xdr:col>1</xdr:col>
      <xdr:colOff>1343025</xdr:colOff>
      <xdr:row>4</xdr:row>
      <xdr:rowOff>47625</xdr:rowOff>
    </xdr:to>
    <xdr:pic>
      <xdr:nvPicPr>
        <xdr:cNvPr id="3" name="Image 2" descr="Sans titre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8125" y="171450"/>
          <a:ext cx="1866900" cy="809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57150</xdr:colOff>
      <xdr:row>13</xdr:row>
      <xdr:rowOff>120331</xdr:rowOff>
    </xdr:from>
    <xdr:to>
      <xdr:col>2</xdr:col>
      <xdr:colOff>923925</xdr:colOff>
      <xdr:row>18</xdr:row>
      <xdr:rowOff>34606</xdr:rowOff>
    </xdr:to>
    <xdr:pic>
      <xdr:nvPicPr>
        <xdr:cNvPr id="4" name="Image 3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00300" y="3473131"/>
          <a:ext cx="866775" cy="866775"/>
        </a:xfrm>
        <a:prstGeom prst="rect">
          <a:avLst/>
        </a:prstGeom>
      </xdr:spPr>
    </xdr:pic>
    <xdr:clientData/>
  </xdr:twoCellAnchor>
  <xdr:twoCellAnchor editAs="oneCell">
    <xdr:from>
      <xdr:col>2</xdr:col>
      <xdr:colOff>2295526</xdr:colOff>
      <xdr:row>13</xdr:row>
      <xdr:rowOff>120332</xdr:rowOff>
    </xdr:from>
    <xdr:to>
      <xdr:col>2</xdr:col>
      <xdr:colOff>3175320</xdr:colOff>
      <xdr:row>18</xdr:row>
      <xdr:rowOff>47626</xdr:rowOff>
    </xdr:to>
    <xdr:pic>
      <xdr:nvPicPr>
        <xdr:cNvPr id="5" name="Image 4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38676" y="3473132"/>
          <a:ext cx="879794" cy="879794"/>
        </a:xfrm>
        <a:prstGeom prst="rect">
          <a:avLst/>
        </a:prstGeom>
      </xdr:spPr>
    </xdr:pic>
    <xdr:clientData/>
  </xdr:twoCellAnchor>
  <xdr:twoCellAnchor>
    <xdr:from>
      <xdr:col>2</xdr:col>
      <xdr:colOff>3219449</xdr:colOff>
      <xdr:row>15</xdr:row>
      <xdr:rowOff>28575</xdr:rowOff>
    </xdr:from>
    <xdr:to>
      <xdr:col>2</xdr:col>
      <xdr:colOff>4371974</xdr:colOff>
      <xdr:row>17</xdr:row>
      <xdr:rowOff>123825</xdr:rowOff>
    </xdr:to>
    <xdr:sp macro="" textlink="">
      <xdr:nvSpPr>
        <xdr:cNvPr id="6" name="ZoneTexte 5"/>
        <xdr:cNvSpPr txBox="1"/>
      </xdr:nvSpPr>
      <xdr:spPr>
        <a:xfrm>
          <a:off x="5562599" y="3762375"/>
          <a:ext cx="1152525" cy="476250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 b="1"/>
            <a:t>10 732 articles</a:t>
          </a:r>
        </a:p>
      </xdr:txBody>
    </xdr:sp>
    <xdr:clientData/>
  </xdr:twoCellAnchor>
  <xdr:twoCellAnchor>
    <xdr:from>
      <xdr:col>2</xdr:col>
      <xdr:colOff>1009649</xdr:colOff>
      <xdr:row>15</xdr:row>
      <xdr:rowOff>19050</xdr:rowOff>
    </xdr:from>
    <xdr:to>
      <xdr:col>2</xdr:col>
      <xdr:colOff>2162174</xdr:colOff>
      <xdr:row>17</xdr:row>
      <xdr:rowOff>114300</xdr:rowOff>
    </xdr:to>
    <xdr:sp macro="" textlink="">
      <xdr:nvSpPr>
        <xdr:cNvPr id="7" name="ZoneTexte 6"/>
        <xdr:cNvSpPr txBox="1"/>
      </xdr:nvSpPr>
      <xdr:spPr>
        <a:xfrm>
          <a:off x="3352799" y="3752850"/>
          <a:ext cx="1152525" cy="476250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 b="1"/>
            <a:t>6 sources</a:t>
          </a:r>
        </a:p>
      </xdr:txBody>
    </xdr:sp>
    <xdr:clientData/>
  </xdr:twoCellAnchor>
  <xdr:twoCellAnchor editAs="oneCell">
    <xdr:from>
      <xdr:col>2</xdr:col>
      <xdr:colOff>4619626</xdr:colOff>
      <xdr:row>13</xdr:row>
      <xdr:rowOff>82231</xdr:rowOff>
    </xdr:from>
    <xdr:to>
      <xdr:col>2</xdr:col>
      <xdr:colOff>5610226</xdr:colOff>
      <xdr:row>18</xdr:row>
      <xdr:rowOff>120331</xdr:rowOff>
    </xdr:to>
    <xdr:pic>
      <xdr:nvPicPr>
        <xdr:cNvPr id="9" name="Image 8"/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62776" y="3435031"/>
          <a:ext cx="990600" cy="990600"/>
        </a:xfrm>
        <a:prstGeom prst="rect">
          <a:avLst/>
        </a:prstGeom>
      </xdr:spPr>
    </xdr:pic>
    <xdr:clientData/>
  </xdr:twoCellAnchor>
  <xdr:twoCellAnchor>
    <xdr:from>
      <xdr:col>2</xdr:col>
      <xdr:colOff>5495924</xdr:colOff>
      <xdr:row>15</xdr:row>
      <xdr:rowOff>0</xdr:rowOff>
    </xdr:from>
    <xdr:to>
      <xdr:col>2</xdr:col>
      <xdr:colOff>6791325</xdr:colOff>
      <xdr:row>17</xdr:row>
      <xdr:rowOff>95250</xdr:rowOff>
    </xdr:to>
    <xdr:sp macro="" textlink="">
      <xdr:nvSpPr>
        <xdr:cNvPr id="11" name="ZoneTexte 10"/>
        <xdr:cNvSpPr txBox="1"/>
      </xdr:nvSpPr>
      <xdr:spPr>
        <a:xfrm>
          <a:off x="7839074" y="3733800"/>
          <a:ext cx="1295401" cy="476250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1100" b="1"/>
            <a:t>6 catastrophes</a:t>
          </a:r>
          <a:r>
            <a:rPr lang="fr-FR" sz="1100" b="1" baseline="0"/>
            <a:t> naturelles étudiées</a:t>
          </a:r>
          <a:endParaRPr lang="fr-FR" sz="11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68382</xdr:colOff>
      <xdr:row>39</xdr:row>
      <xdr:rowOff>45551</xdr:rowOff>
    </xdr:from>
    <xdr:to>
      <xdr:col>20</xdr:col>
      <xdr:colOff>275447</xdr:colOff>
      <xdr:row>40</xdr:row>
      <xdr:rowOff>131336</xdr:rowOff>
    </xdr:to>
    <xdr:sp macro="" textlink="">
      <xdr:nvSpPr>
        <xdr:cNvPr id="3" name="ZoneTexte 2"/>
        <xdr:cNvSpPr txBox="1"/>
      </xdr:nvSpPr>
      <xdr:spPr>
        <a:xfrm>
          <a:off x="8069382" y="7697301"/>
          <a:ext cx="7065065" cy="276285"/>
        </a:xfrm>
        <a:prstGeom prst="rect">
          <a:avLst/>
        </a:prstGeom>
        <a:solidFill>
          <a:schemeClr val="bg2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800" b="1"/>
            <a:t>Evolution du</a:t>
          </a:r>
          <a:r>
            <a:rPr lang="fr-FR" sz="1800" b="1" baseline="0"/>
            <a:t> nombre d'</a:t>
          </a:r>
          <a:r>
            <a:rPr lang="fr-FR" sz="1800" b="1"/>
            <a:t>articles par thème et par année</a:t>
          </a:r>
        </a:p>
      </xdr:txBody>
    </xdr:sp>
    <xdr:clientData/>
  </xdr:twoCellAnchor>
  <xdr:twoCellAnchor>
    <xdr:from>
      <xdr:col>1</xdr:col>
      <xdr:colOff>64102</xdr:colOff>
      <xdr:row>58</xdr:row>
      <xdr:rowOff>53005</xdr:rowOff>
    </xdr:from>
    <xdr:to>
      <xdr:col>10</xdr:col>
      <xdr:colOff>271167</xdr:colOff>
      <xdr:row>59</xdr:row>
      <xdr:rowOff>153580</xdr:rowOff>
    </xdr:to>
    <xdr:sp macro="" textlink="">
      <xdr:nvSpPr>
        <xdr:cNvPr id="8" name="ZoneTexte 7"/>
        <xdr:cNvSpPr txBox="1"/>
      </xdr:nvSpPr>
      <xdr:spPr>
        <a:xfrm>
          <a:off x="445102" y="11292505"/>
          <a:ext cx="7065065" cy="291075"/>
        </a:xfrm>
        <a:prstGeom prst="rect">
          <a:avLst/>
        </a:prstGeom>
        <a:solidFill>
          <a:schemeClr val="bg2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800" b="1"/>
            <a:t>Nombre de morts selon la catastrophe naturelle et l'année</a:t>
          </a:r>
        </a:p>
      </xdr:txBody>
    </xdr:sp>
    <xdr:clientData/>
  </xdr:twoCellAnchor>
  <xdr:twoCellAnchor>
    <xdr:from>
      <xdr:col>1</xdr:col>
      <xdr:colOff>44223</xdr:colOff>
      <xdr:row>61</xdr:row>
      <xdr:rowOff>108854</xdr:rowOff>
    </xdr:from>
    <xdr:to>
      <xdr:col>10</xdr:col>
      <xdr:colOff>245306</xdr:colOff>
      <xdr:row>75</xdr:row>
      <xdr:rowOff>185054</xdr:rowOff>
    </xdr:to>
    <xdr:graphicFrame macro="">
      <xdr:nvGraphicFramePr>
        <xdr:cNvPr id="9" name="Graphique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720045</xdr:colOff>
      <xdr:row>61</xdr:row>
      <xdr:rowOff>111125</xdr:rowOff>
    </xdr:from>
    <xdr:to>
      <xdr:col>20</xdr:col>
      <xdr:colOff>228045</xdr:colOff>
      <xdr:row>75</xdr:row>
      <xdr:rowOff>187325</xdr:rowOff>
    </xdr:to>
    <xdr:graphicFrame macro="">
      <xdr:nvGraphicFramePr>
        <xdr:cNvPr id="10" name="Graphique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739903</xdr:colOff>
      <xdr:row>58</xdr:row>
      <xdr:rowOff>59762</xdr:rowOff>
    </xdr:from>
    <xdr:to>
      <xdr:col>20</xdr:col>
      <xdr:colOff>184968</xdr:colOff>
      <xdr:row>59</xdr:row>
      <xdr:rowOff>146730</xdr:rowOff>
    </xdr:to>
    <xdr:sp macro="" textlink="">
      <xdr:nvSpPr>
        <xdr:cNvPr id="11" name="ZoneTexte 10"/>
        <xdr:cNvSpPr txBox="1"/>
      </xdr:nvSpPr>
      <xdr:spPr>
        <a:xfrm>
          <a:off x="7978903" y="11331012"/>
          <a:ext cx="7065065" cy="277468"/>
        </a:xfrm>
        <a:prstGeom prst="rect">
          <a:avLst/>
        </a:prstGeom>
        <a:solidFill>
          <a:schemeClr val="bg2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800" b="1"/>
            <a:t>Coût</a:t>
          </a:r>
          <a:r>
            <a:rPr lang="fr-FR" sz="1800" b="1" baseline="0"/>
            <a:t> </a:t>
          </a:r>
          <a:r>
            <a:rPr lang="fr-FR" sz="1800" b="1"/>
            <a:t>selon la catastrophe naturelle et l'année</a:t>
          </a:r>
        </a:p>
      </xdr:txBody>
    </xdr:sp>
    <xdr:clientData/>
  </xdr:twoCellAnchor>
  <xdr:twoCellAnchor editAs="oneCell">
    <xdr:from>
      <xdr:col>5</xdr:col>
      <xdr:colOff>214993</xdr:colOff>
      <xdr:row>40</xdr:row>
      <xdr:rowOff>54430</xdr:rowOff>
    </xdr:from>
    <xdr:to>
      <xdr:col>7</xdr:col>
      <xdr:colOff>519793</xdr:colOff>
      <xdr:row>50</xdr:row>
      <xdr:rowOff>149680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Thème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hèm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643993" y="7886097"/>
              <a:ext cx="1828800" cy="20002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2</xdr:col>
      <xdr:colOff>280761</xdr:colOff>
      <xdr:row>40</xdr:row>
      <xdr:rowOff>57830</xdr:rowOff>
    </xdr:from>
    <xdr:to>
      <xdr:col>4</xdr:col>
      <xdr:colOff>585561</xdr:colOff>
      <xdr:row>53</xdr:row>
      <xdr:rowOff>105455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Années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nnée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23761" y="7889497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>
    <xdr:from>
      <xdr:col>1</xdr:col>
      <xdr:colOff>108856</xdr:colOff>
      <xdr:row>2</xdr:row>
      <xdr:rowOff>176892</xdr:rowOff>
    </xdr:from>
    <xdr:to>
      <xdr:col>10</xdr:col>
      <xdr:colOff>258535</xdr:colOff>
      <xdr:row>17</xdr:row>
      <xdr:rowOff>62592</xdr:rowOff>
    </xdr:to>
    <xdr:graphicFrame macro="">
      <xdr:nvGraphicFramePr>
        <xdr:cNvPr id="13" name="Graphique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106255</xdr:colOff>
      <xdr:row>0</xdr:row>
      <xdr:rowOff>184343</xdr:rowOff>
    </xdr:from>
    <xdr:to>
      <xdr:col>10</xdr:col>
      <xdr:colOff>313320</xdr:colOff>
      <xdr:row>1</xdr:row>
      <xdr:rowOff>283735</xdr:rowOff>
    </xdr:to>
    <xdr:sp macro="" textlink="">
      <xdr:nvSpPr>
        <xdr:cNvPr id="14" name="ZoneTexte 13"/>
        <xdr:cNvSpPr txBox="1"/>
      </xdr:nvSpPr>
      <xdr:spPr>
        <a:xfrm>
          <a:off x="487255" y="184343"/>
          <a:ext cx="7065065" cy="289892"/>
        </a:xfrm>
        <a:prstGeom prst="rect">
          <a:avLst/>
        </a:prstGeom>
        <a:solidFill>
          <a:schemeClr val="bg2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800" b="1"/>
            <a:t>Répartition des articles par année</a:t>
          </a:r>
        </a:p>
      </xdr:txBody>
    </xdr:sp>
    <xdr:clientData/>
  </xdr:twoCellAnchor>
  <xdr:twoCellAnchor>
    <xdr:from>
      <xdr:col>11</xdr:col>
      <xdr:colOff>54429</xdr:colOff>
      <xdr:row>2</xdr:row>
      <xdr:rowOff>108857</xdr:rowOff>
    </xdr:from>
    <xdr:to>
      <xdr:col>20</xdr:col>
      <xdr:colOff>244929</xdr:colOff>
      <xdr:row>16</xdr:row>
      <xdr:rowOff>185057</xdr:rowOff>
    </xdr:to>
    <xdr:graphicFrame macro="">
      <xdr:nvGraphicFramePr>
        <xdr:cNvPr id="15" name="Graphique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68154</xdr:colOff>
      <xdr:row>0</xdr:row>
      <xdr:rowOff>159850</xdr:rowOff>
    </xdr:from>
    <xdr:to>
      <xdr:col>20</xdr:col>
      <xdr:colOff>275219</xdr:colOff>
      <xdr:row>1</xdr:row>
      <xdr:rowOff>259242</xdr:rowOff>
    </xdr:to>
    <xdr:sp macro="" textlink="">
      <xdr:nvSpPr>
        <xdr:cNvPr id="18" name="ZoneTexte 17"/>
        <xdr:cNvSpPr txBox="1"/>
      </xdr:nvSpPr>
      <xdr:spPr>
        <a:xfrm>
          <a:off x="8069154" y="159850"/>
          <a:ext cx="7065065" cy="289892"/>
        </a:xfrm>
        <a:prstGeom prst="rect">
          <a:avLst/>
        </a:prstGeom>
        <a:solidFill>
          <a:schemeClr val="bg2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800" b="1"/>
            <a:t>Répartition des articles par source</a:t>
          </a:r>
        </a:p>
      </xdr:txBody>
    </xdr:sp>
    <xdr:clientData/>
  </xdr:twoCellAnchor>
  <xdr:twoCellAnchor>
    <xdr:from>
      <xdr:col>11</xdr:col>
      <xdr:colOff>30163</xdr:colOff>
      <xdr:row>42</xdr:row>
      <xdr:rowOff>0</xdr:rowOff>
    </xdr:from>
    <xdr:to>
      <xdr:col>20</xdr:col>
      <xdr:colOff>269875</xdr:colOff>
      <xdr:row>56</xdr:row>
      <xdr:rowOff>76200</xdr:rowOff>
    </xdr:to>
    <xdr:graphicFrame macro="">
      <xdr:nvGraphicFramePr>
        <xdr:cNvPr id="16" name="Graphique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103187</xdr:colOff>
      <xdr:row>21</xdr:row>
      <xdr:rowOff>87313</xdr:rowOff>
    </xdr:from>
    <xdr:to>
      <xdr:col>20</xdr:col>
      <xdr:colOff>198437</xdr:colOff>
      <xdr:row>35</xdr:row>
      <xdr:rowOff>163513</xdr:rowOff>
    </xdr:to>
    <xdr:graphicFrame macro="">
      <xdr:nvGraphicFramePr>
        <xdr:cNvPr id="17" name="Graphique 1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69969</xdr:colOff>
      <xdr:row>19</xdr:row>
      <xdr:rowOff>61965</xdr:rowOff>
    </xdr:from>
    <xdr:to>
      <xdr:col>20</xdr:col>
      <xdr:colOff>277034</xdr:colOff>
      <xdr:row>20</xdr:row>
      <xdr:rowOff>52500</xdr:rowOff>
    </xdr:to>
    <xdr:sp macro="" textlink="">
      <xdr:nvSpPr>
        <xdr:cNvPr id="19" name="ZoneTexte 18"/>
        <xdr:cNvSpPr txBox="1"/>
      </xdr:nvSpPr>
      <xdr:spPr>
        <a:xfrm>
          <a:off x="8085346" y="3755149"/>
          <a:ext cx="7081240" cy="287068"/>
        </a:xfrm>
        <a:prstGeom prst="rect">
          <a:avLst/>
        </a:prstGeom>
        <a:solidFill>
          <a:schemeClr val="bg2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800" b="1"/>
            <a:t>Nombre </a:t>
          </a:r>
          <a:r>
            <a:rPr lang="fr-FR" sz="1800" b="1" baseline="0"/>
            <a:t>d'</a:t>
          </a:r>
          <a:r>
            <a:rPr lang="fr-FR" sz="1800" b="1"/>
            <a:t>articles par thème et par mois</a:t>
          </a:r>
        </a:p>
      </xdr:txBody>
    </xdr:sp>
    <xdr:clientData/>
  </xdr:twoCellAnchor>
  <xdr:twoCellAnchor>
    <xdr:from>
      <xdr:col>1</xdr:col>
      <xdr:colOff>174624</xdr:colOff>
      <xdr:row>21</xdr:row>
      <xdr:rowOff>111125</xdr:rowOff>
    </xdr:from>
    <xdr:to>
      <xdr:col>10</xdr:col>
      <xdr:colOff>190499</xdr:colOff>
      <xdr:row>35</xdr:row>
      <xdr:rowOff>187325</xdr:rowOff>
    </xdr:to>
    <xdr:graphicFrame macro="">
      <xdr:nvGraphicFramePr>
        <xdr:cNvPr id="20" name="Graphique 1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85844</xdr:colOff>
      <xdr:row>19</xdr:row>
      <xdr:rowOff>55076</xdr:rowOff>
    </xdr:from>
    <xdr:to>
      <xdr:col>10</xdr:col>
      <xdr:colOff>292909</xdr:colOff>
      <xdr:row>20</xdr:row>
      <xdr:rowOff>45611</xdr:rowOff>
    </xdr:to>
    <xdr:sp macro="" textlink="">
      <xdr:nvSpPr>
        <xdr:cNvPr id="22" name="ZoneTexte 21"/>
        <xdr:cNvSpPr txBox="1"/>
      </xdr:nvSpPr>
      <xdr:spPr>
        <a:xfrm>
          <a:off x="466844" y="3769826"/>
          <a:ext cx="7065065" cy="276285"/>
        </a:xfrm>
        <a:prstGeom prst="rect">
          <a:avLst/>
        </a:prstGeom>
        <a:solidFill>
          <a:schemeClr val="bg2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800" b="1"/>
            <a:t>Nombre </a:t>
          </a:r>
          <a:r>
            <a:rPr lang="fr-FR" sz="1800" b="1" baseline="0"/>
            <a:t>d'</a:t>
          </a:r>
          <a:r>
            <a:rPr lang="fr-FR" sz="1800" b="1"/>
            <a:t>articles par saison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721837</xdr:colOff>
      <xdr:row>18</xdr:row>
      <xdr:rowOff>47625</xdr:rowOff>
    </xdr:from>
    <xdr:to>
      <xdr:col>11</xdr:col>
      <xdr:colOff>18679</xdr:colOff>
      <xdr:row>27</xdr:row>
      <xdr:rowOff>133125</xdr:rowOff>
    </xdr:to>
    <xdr:pic>
      <xdr:nvPicPr>
        <xdr:cNvPr id="2" name="Image 1"/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/>
      </xdr:blipFill>
      <xdr:spPr>
        <a:xfrm>
          <a:off x="4284187" y="2524125"/>
          <a:ext cx="3430692" cy="180000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6</xdr:col>
      <xdr:colOff>28272</xdr:colOff>
      <xdr:row>4</xdr:row>
      <xdr:rowOff>74664</xdr:rowOff>
    </xdr:from>
    <xdr:to>
      <xdr:col>11</xdr:col>
      <xdr:colOff>87114</xdr:colOff>
      <xdr:row>13</xdr:row>
      <xdr:rowOff>160164</xdr:rowOff>
    </xdr:to>
    <xdr:pic>
      <xdr:nvPicPr>
        <xdr:cNvPr id="3" name="Image 2"/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/>
      </xdr:blipFill>
      <xdr:spPr>
        <a:xfrm>
          <a:off x="4352622" y="398514"/>
          <a:ext cx="3430692" cy="180000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98691</xdr:colOff>
      <xdr:row>18</xdr:row>
      <xdr:rowOff>143813</xdr:rowOff>
    </xdr:from>
    <xdr:to>
      <xdr:col>5</xdr:col>
      <xdr:colOff>481383</xdr:colOff>
      <xdr:row>28</xdr:row>
      <xdr:rowOff>38813</xdr:rowOff>
    </xdr:to>
    <xdr:pic>
      <xdr:nvPicPr>
        <xdr:cNvPr id="4" name="Image 3"/>
        <xdr:cNvPicPr>
          <a:picLocks noChangeAspect="1"/>
        </xdr:cNvPicPr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/>
      </xdr:blipFill>
      <xdr:spPr>
        <a:xfrm>
          <a:off x="613041" y="2620313"/>
          <a:ext cx="3430692" cy="180000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105352</xdr:colOff>
      <xdr:row>4</xdr:row>
      <xdr:rowOff>72785</xdr:rowOff>
    </xdr:from>
    <xdr:to>
      <xdr:col>5</xdr:col>
      <xdr:colOff>488044</xdr:colOff>
      <xdr:row>13</xdr:row>
      <xdr:rowOff>158285</xdr:rowOff>
    </xdr:to>
    <xdr:pic>
      <xdr:nvPicPr>
        <xdr:cNvPr id="5" name="Image 4"/>
        <xdr:cNvPicPr>
          <a:picLocks noChangeAspect="1"/>
        </xdr:cNvPicPr>
      </xdr:nvPicPr>
      <xdr:blipFill rotWithShape="1"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/>
      </xdr:blipFill>
      <xdr:spPr>
        <a:xfrm>
          <a:off x="619702" y="396635"/>
          <a:ext cx="3430692" cy="180000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11</xdr:col>
      <xdr:colOff>438728</xdr:colOff>
      <xdr:row>4</xdr:row>
      <xdr:rowOff>85725</xdr:rowOff>
    </xdr:from>
    <xdr:to>
      <xdr:col>16</xdr:col>
      <xdr:colOff>259445</xdr:colOff>
      <xdr:row>13</xdr:row>
      <xdr:rowOff>171225</xdr:rowOff>
    </xdr:to>
    <xdr:pic>
      <xdr:nvPicPr>
        <xdr:cNvPr id="6" name="Image 5"/>
        <xdr:cNvPicPr>
          <a:picLocks noChangeAspect="1"/>
        </xdr:cNvPicPr>
      </xdr:nvPicPr>
      <xdr:blipFill rotWithShape="1"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/>
      </xdr:blipFill>
      <xdr:spPr>
        <a:xfrm>
          <a:off x="8134928" y="409575"/>
          <a:ext cx="3430692" cy="180000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11</xdr:col>
      <xdr:colOff>395399</xdr:colOff>
      <xdr:row>18</xdr:row>
      <xdr:rowOff>123824</xdr:rowOff>
    </xdr:from>
    <xdr:to>
      <xdr:col>16</xdr:col>
      <xdr:colOff>216116</xdr:colOff>
      <xdr:row>28</xdr:row>
      <xdr:rowOff>18824</xdr:rowOff>
    </xdr:to>
    <xdr:pic>
      <xdr:nvPicPr>
        <xdr:cNvPr id="7" name="Image 6"/>
        <xdr:cNvPicPr>
          <a:picLocks noChangeAspect="1"/>
        </xdr:cNvPicPr>
      </xdr:nvPicPr>
      <xdr:blipFill rotWithShape="1"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/>
      </xdr:blipFill>
      <xdr:spPr>
        <a:xfrm>
          <a:off x="8091599" y="2600324"/>
          <a:ext cx="3430692" cy="1800000"/>
        </a:xfrm>
        <a:prstGeom prst="rect">
          <a:avLst/>
        </a:prstGeom>
        <a:ln>
          <a:noFill/>
        </a:ln>
      </xdr:spPr>
    </xdr:pic>
    <xdr:clientData/>
  </xdr:twoCellAnchor>
  <xdr:twoCellAnchor>
    <xdr:from>
      <xdr:col>1</xdr:col>
      <xdr:colOff>95250</xdr:colOff>
      <xdr:row>2</xdr:row>
      <xdr:rowOff>66675</xdr:rowOff>
    </xdr:from>
    <xdr:to>
      <xdr:col>5</xdr:col>
      <xdr:colOff>523875</xdr:colOff>
      <xdr:row>4</xdr:row>
      <xdr:rowOff>28575</xdr:rowOff>
    </xdr:to>
    <xdr:sp macro="" textlink="">
      <xdr:nvSpPr>
        <xdr:cNvPr id="8" name="ZoneTexte 7"/>
        <xdr:cNvSpPr txBox="1"/>
      </xdr:nvSpPr>
      <xdr:spPr>
        <a:xfrm>
          <a:off x="609600" y="123825"/>
          <a:ext cx="3476625" cy="228600"/>
        </a:xfrm>
        <a:prstGeom prst="rect">
          <a:avLst/>
        </a:prstGeom>
        <a:solidFill>
          <a:schemeClr val="bg2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 b="1"/>
            <a:t>Top 10  des verbes dans le titre des articles</a:t>
          </a:r>
        </a:p>
      </xdr:txBody>
    </xdr:sp>
    <xdr:clientData/>
  </xdr:twoCellAnchor>
  <xdr:twoCellAnchor>
    <xdr:from>
      <xdr:col>6</xdr:col>
      <xdr:colOff>21985</xdr:colOff>
      <xdr:row>2</xdr:row>
      <xdr:rowOff>68873</xdr:rowOff>
    </xdr:from>
    <xdr:to>
      <xdr:col>11</xdr:col>
      <xdr:colOff>125294</xdr:colOff>
      <xdr:row>4</xdr:row>
      <xdr:rowOff>30773</xdr:rowOff>
    </xdr:to>
    <xdr:sp macro="" textlink="">
      <xdr:nvSpPr>
        <xdr:cNvPr id="9" name="ZoneTexte 8"/>
        <xdr:cNvSpPr txBox="1"/>
      </xdr:nvSpPr>
      <xdr:spPr>
        <a:xfrm>
          <a:off x="4346335" y="126023"/>
          <a:ext cx="3475159" cy="228600"/>
        </a:xfrm>
        <a:prstGeom prst="rect">
          <a:avLst/>
        </a:prstGeom>
        <a:solidFill>
          <a:schemeClr val="bg2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 b="1"/>
            <a:t>Top 10  des noms dans le titre des articles</a:t>
          </a:r>
        </a:p>
      </xdr:txBody>
    </xdr:sp>
    <xdr:clientData/>
  </xdr:twoCellAnchor>
  <xdr:twoCellAnchor>
    <xdr:from>
      <xdr:col>11</xdr:col>
      <xdr:colOff>447675</xdr:colOff>
      <xdr:row>2</xdr:row>
      <xdr:rowOff>72535</xdr:rowOff>
    </xdr:from>
    <xdr:to>
      <xdr:col>16</xdr:col>
      <xdr:colOff>266700</xdr:colOff>
      <xdr:row>4</xdr:row>
      <xdr:rowOff>34435</xdr:rowOff>
    </xdr:to>
    <xdr:sp macro="" textlink="">
      <xdr:nvSpPr>
        <xdr:cNvPr id="10" name="ZoneTexte 9"/>
        <xdr:cNvSpPr txBox="1"/>
      </xdr:nvSpPr>
      <xdr:spPr>
        <a:xfrm>
          <a:off x="8143875" y="129685"/>
          <a:ext cx="3429000" cy="228600"/>
        </a:xfrm>
        <a:prstGeom prst="rect">
          <a:avLst/>
        </a:prstGeom>
        <a:solidFill>
          <a:schemeClr val="bg2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 b="1"/>
            <a:t>Top 10  des adjectifs dans le titre des articles</a:t>
          </a:r>
        </a:p>
      </xdr:txBody>
    </xdr:sp>
    <xdr:clientData/>
  </xdr:twoCellAnchor>
  <xdr:twoCellAnchor>
    <xdr:from>
      <xdr:col>1</xdr:col>
      <xdr:colOff>96715</xdr:colOff>
      <xdr:row>17</xdr:row>
      <xdr:rowOff>9525</xdr:rowOff>
    </xdr:from>
    <xdr:to>
      <xdr:col>5</xdr:col>
      <xdr:colOff>523874</xdr:colOff>
      <xdr:row>18</xdr:row>
      <xdr:rowOff>52751</xdr:rowOff>
    </xdr:to>
    <xdr:sp macro="" textlink="">
      <xdr:nvSpPr>
        <xdr:cNvPr id="11" name="ZoneTexte 10"/>
        <xdr:cNvSpPr txBox="1"/>
      </xdr:nvSpPr>
      <xdr:spPr>
        <a:xfrm>
          <a:off x="611065" y="2295525"/>
          <a:ext cx="3475159" cy="233726"/>
        </a:xfrm>
        <a:prstGeom prst="rect">
          <a:avLst/>
        </a:prstGeom>
        <a:solidFill>
          <a:schemeClr val="bg2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 b="1"/>
            <a:t>Top 10  des verbes dans le contenu des articles</a:t>
          </a:r>
        </a:p>
      </xdr:txBody>
    </xdr:sp>
    <xdr:clientData/>
  </xdr:twoCellAnchor>
  <xdr:twoCellAnchor>
    <xdr:from>
      <xdr:col>6</xdr:col>
      <xdr:colOff>24172</xdr:colOff>
      <xdr:row>17</xdr:row>
      <xdr:rowOff>19050</xdr:rowOff>
    </xdr:from>
    <xdr:to>
      <xdr:col>11</xdr:col>
      <xdr:colOff>128947</xdr:colOff>
      <xdr:row>18</xdr:row>
      <xdr:rowOff>65938</xdr:rowOff>
    </xdr:to>
    <xdr:sp macro="" textlink="">
      <xdr:nvSpPr>
        <xdr:cNvPr id="12" name="ZoneTexte 11"/>
        <xdr:cNvSpPr txBox="1"/>
      </xdr:nvSpPr>
      <xdr:spPr>
        <a:xfrm>
          <a:off x="4348522" y="2305050"/>
          <a:ext cx="3476625" cy="237388"/>
        </a:xfrm>
        <a:prstGeom prst="rect">
          <a:avLst/>
        </a:prstGeom>
        <a:solidFill>
          <a:schemeClr val="bg2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 b="1"/>
            <a:t>Top 10  des noms dans le contenu des articles</a:t>
          </a:r>
        </a:p>
      </xdr:txBody>
    </xdr:sp>
    <xdr:clientData/>
  </xdr:twoCellAnchor>
  <xdr:twoCellAnchor>
    <xdr:from>
      <xdr:col>11</xdr:col>
      <xdr:colOff>485775</xdr:colOff>
      <xdr:row>17</xdr:row>
      <xdr:rowOff>19050</xdr:rowOff>
    </xdr:from>
    <xdr:to>
      <xdr:col>16</xdr:col>
      <xdr:colOff>307715</xdr:colOff>
      <xdr:row>18</xdr:row>
      <xdr:rowOff>71798</xdr:rowOff>
    </xdr:to>
    <xdr:sp macro="" textlink="">
      <xdr:nvSpPr>
        <xdr:cNvPr id="13" name="ZoneTexte 12"/>
        <xdr:cNvSpPr txBox="1"/>
      </xdr:nvSpPr>
      <xdr:spPr>
        <a:xfrm>
          <a:off x="8181975" y="2305050"/>
          <a:ext cx="3431915" cy="243248"/>
        </a:xfrm>
        <a:prstGeom prst="rect">
          <a:avLst/>
        </a:prstGeom>
        <a:solidFill>
          <a:schemeClr val="bg2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 b="1"/>
            <a:t>Top 10  des adjectifs dans le contenu des articles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495300</xdr:colOff>
      <xdr:row>0</xdr:row>
      <xdr:rowOff>152400</xdr:rowOff>
    </xdr:from>
    <xdr:to>
      <xdr:col>5</xdr:col>
      <xdr:colOff>146374</xdr:colOff>
      <xdr:row>2</xdr:row>
      <xdr:rowOff>4471</xdr:rowOff>
    </xdr:to>
    <xdr:sp macro="" textlink="">
      <xdr:nvSpPr>
        <xdr:cNvPr id="2" name="ZoneTexte 1"/>
        <xdr:cNvSpPr txBox="1"/>
      </xdr:nvSpPr>
      <xdr:spPr>
        <a:xfrm>
          <a:off x="495300" y="152400"/>
          <a:ext cx="3461074" cy="233071"/>
        </a:xfrm>
        <a:prstGeom prst="rect">
          <a:avLst/>
        </a:prstGeom>
        <a:solidFill>
          <a:schemeClr val="bg2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 b="1"/>
            <a:t>Top 10  des pays les plus touchés</a:t>
          </a:r>
        </a:p>
      </xdr:txBody>
    </xdr:sp>
    <xdr:clientData/>
  </xdr:twoCellAnchor>
  <xdr:twoCellAnchor editAs="oneCell">
    <xdr:from>
      <xdr:col>0</xdr:col>
      <xdr:colOff>419100</xdr:colOff>
      <xdr:row>2</xdr:row>
      <xdr:rowOff>28575</xdr:rowOff>
    </xdr:from>
    <xdr:to>
      <xdr:col>5</xdr:col>
      <xdr:colOff>39792</xdr:colOff>
      <xdr:row>11</xdr:row>
      <xdr:rowOff>114075</xdr:rowOff>
    </xdr:to>
    <xdr:pic>
      <xdr:nvPicPr>
        <xdr:cNvPr id="3" name="Image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9100" y="409575"/>
          <a:ext cx="3430692" cy="1800000"/>
        </a:xfrm>
        <a:prstGeom prst="rect">
          <a:avLst/>
        </a:prstGeom>
      </xdr:spPr>
    </xdr:pic>
    <xdr:clientData/>
  </xdr:twoCellAnchor>
  <xdr:twoCellAnchor>
    <xdr:from>
      <xdr:col>5</xdr:col>
      <xdr:colOff>285750</xdr:colOff>
      <xdr:row>0</xdr:row>
      <xdr:rowOff>152400</xdr:rowOff>
    </xdr:from>
    <xdr:to>
      <xdr:col>9</xdr:col>
      <xdr:colOff>698824</xdr:colOff>
      <xdr:row>2</xdr:row>
      <xdr:rowOff>4471</xdr:rowOff>
    </xdr:to>
    <xdr:sp macro="" textlink="">
      <xdr:nvSpPr>
        <xdr:cNvPr id="4" name="ZoneTexte 3"/>
        <xdr:cNvSpPr txBox="1"/>
      </xdr:nvSpPr>
      <xdr:spPr>
        <a:xfrm>
          <a:off x="4095750" y="152400"/>
          <a:ext cx="3461074" cy="233071"/>
        </a:xfrm>
        <a:prstGeom prst="rect">
          <a:avLst/>
        </a:prstGeom>
        <a:solidFill>
          <a:schemeClr val="bg2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 b="1"/>
            <a:t>Top 10  des pays les plus touchés par les typhons</a:t>
          </a:r>
        </a:p>
      </xdr:txBody>
    </xdr:sp>
    <xdr:clientData/>
  </xdr:twoCellAnchor>
  <xdr:twoCellAnchor editAs="oneCell">
    <xdr:from>
      <xdr:col>5</xdr:col>
      <xdr:colOff>285750</xdr:colOff>
      <xdr:row>2</xdr:row>
      <xdr:rowOff>28575</xdr:rowOff>
    </xdr:from>
    <xdr:to>
      <xdr:col>9</xdr:col>
      <xdr:colOff>668442</xdr:colOff>
      <xdr:row>11</xdr:row>
      <xdr:rowOff>114075</xdr:rowOff>
    </xdr:to>
    <xdr:pic>
      <xdr:nvPicPr>
        <xdr:cNvPr id="5" name="Image 4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95750" y="409575"/>
          <a:ext cx="3430692" cy="1800000"/>
        </a:xfrm>
        <a:prstGeom prst="rect">
          <a:avLst/>
        </a:prstGeom>
      </xdr:spPr>
    </xdr:pic>
    <xdr:clientData/>
  </xdr:twoCellAnchor>
  <xdr:twoCellAnchor>
    <xdr:from>
      <xdr:col>10</xdr:col>
      <xdr:colOff>104775</xdr:colOff>
      <xdr:row>0</xdr:row>
      <xdr:rowOff>152400</xdr:rowOff>
    </xdr:from>
    <xdr:to>
      <xdr:col>14</xdr:col>
      <xdr:colOff>517849</xdr:colOff>
      <xdr:row>2</xdr:row>
      <xdr:rowOff>4471</xdr:rowOff>
    </xdr:to>
    <xdr:sp macro="" textlink="">
      <xdr:nvSpPr>
        <xdr:cNvPr id="6" name="ZoneTexte 5"/>
        <xdr:cNvSpPr txBox="1"/>
      </xdr:nvSpPr>
      <xdr:spPr>
        <a:xfrm>
          <a:off x="7724775" y="152400"/>
          <a:ext cx="3461074" cy="233071"/>
        </a:xfrm>
        <a:prstGeom prst="rect">
          <a:avLst/>
        </a:prstGeom>
        <a:solidFill>
          <a:schemeClr val="bg2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 b="1"/>
            <a:t>Top 10  des pays les plus touchés par les cyclones</a:t>
          </a:r>
        </a:p>
      </xdr:txBody>
    </xdr:sp>
    <xdr:clientData/>
  </xdr:twoCellAnchor>
  <xdr:twoCellAnchor editAs="oneCell">
    <xdr:from>
      <xdr:col>10</xdr:col>
      <xdr:colOff>28575</xdr:colOff>
      <xdr:row>2</xdr:row>
      <xdr:rowOff>57150</xdr:rowOff>
    </xdr:from>
    <xdr:to>
      <xdr:col>14</xdr:col>
      <xdr:colOff>411267</xdr:colOff>
      <xdr:row>11</xdr:row>
      <xdr:rowOff>142650</xdr:rowOff>
    </xdr:to>
    <xdr:pic>
      <xdr:nvPicPr>
        <xdr:cNvPr id="7" name="Image 6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48575" y="438150"/>
          <a:ext cx="3430692" cy="1800000"/>
        </a:xfrm>
        <a:prstGeom prst="rect">
          <a:avLst/>
        </a:prstGeom>
      </xdr:spPr>
    </xdr:pic>
    <xdr:clientData/>
  </xdr:twoCellAnchor>
  <xdr:twoCellAnchor>
    <xdr:from>
      <xdr:col>0</xdr:col>
      <xdr:colOff>495300</xdr:colOff>
      <xdr:row>11</xdr:row>
      <xdr:rowOff>57150</xdr:rowOff>
    </xdr:from>
    <xdr:to>
      <xdr:col>5</xdr:col>
      <xdr:colOff>146374</xdr:colOff>
      <xdr:row>12</xdr:row>
      <xdr:rowOff>99721</xdr:rowOff>
    </xdr:to>
    <xdr:sp macro="" textlink="">
      <xdr:nvSpPr>
        <xdr:cNvPr id="8" name="ZoneTexte 7"/>
        <xdr:cNvSpPr txBox="1"/>
      </xdr:nvSpPr>
      <xdr:spPr>
        <a:xfrm>
          <a:off x="495300" y="2152650"/>
          <a:ext cx="3461074" cy="233071"/>
        </a:xfrm>
        <a:prstGeom prst="rect">
          <a:avLst/>
        </a:prstGeom>
        <a:solidFill>
          <a:schemeClr val="bg2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 b="1"/>
            <a:t>Top 10  des pays les plus touchés par les ouragans</a:t>
          </a:r>
        </a:p>
      </xdr:txBody>
    </xdr:sp>
    <xdr:clientData/>
  </xdr:twoCellAnchor>
  <xdr:twoCellAnchor editAs="oneCell">
    <xdr:from>
      <xdr:col>0</xdr:col>
      <xdr:colOff>542925</xdr:colOff>
      <xdr:row>12</xdr:row>
      <xdr:rowOff>142875</xdr:rowOff>
    </xdr:from>
    <xdr:to>
      <xdr:col>5</xdr:col>
      <xdr:colOff>163617</xdr:colOff>
      <xdr:row>22</xdr:row>
      <xdr:rowOff>37875</xdr:rowOff>
    </xdr:to>
    <xdr:pic>
      <xdr:nvPicPr>
        <xdr:cNvPr id="9" name="Image 8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2925" y="2428875"/>
          <a:ext cx="3430692" cy="1800000"/>
        </a:xfrm>
        <a:prstGeom prst="rect">
          <a:avLst/>
        </a:prstGeom>
      </xdr:spPr>
    </xdr:pic>
    <xdr:clientData/>
  </xdr:twoCellAnchor>
  <xdr:twoCellAnchor>
    <xdr:from>
      <xdr:col>5</xdr:col>
      <xdr:colOff>285750</xdr:colOff>
      <xdr:row>11</xdr:row>
      <xdr:rowOff>57150</xdr:rowOff>
    </xdr:from>
    <xdr:to>
      <xdr:col>9</xdr:col>
      <xdr:colOff>698824</xdr:colOff>
      <xdr:row>12</xdr:row>
      <xdr:rowOff>99721</xdr:rowOff>
    </xdr:to>
    <xdr:sp macro="" textlink="">
      <xdr:nvSpPr>
        <xdr:cNvPr id="10" name="ZoneTexte 9"/>
        <xdr:cNvSpPr txBox="1"/>
      </xdr:nvSpPr>
      <xdr:spPr>
        <a:xfrm>
          <a:off x="4095750" y="2152650"/>
          <a:ext cx="3461074" cy="233071"/>
        </a:xfrm>
        <a:prstGeom prst="rect">
          <a:avLst/>
        </a:prstGeom>
        <a:solidFill>
          <a:schemeClr val="bg2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 b="1"/>
            <a:t>Top 10  des pays les plus touchés par les seismes</a:t>
          </a:r>
        </a:p>
      </xdr:txBody>
    </xdr:sp>
    <xdr:clientData/>
  </xdr:twoCellAnchor>
  <xdr:twoCellAnchor editAs="oneCell">
    <xdr:from>
      <xdr:col>5</xdr:col>
      <xdr:colOff>276225</xdr:colOff>
      <xdr:row>12</xdr:row>
      <xdr:rowOff>161925</xdr:rowOff>
    </xdr:from>
    <xdr:to>
      <xdr:col>9</xdr:col>
      <xdr:colOff>658917</xdr:colOff>
      <xdr:row>22</xdr:row>
      <xdr:rowOff>56925</xdr:rowOff>
    </xdr:to>
    <xdr:pic>
      <xdr:nvPicPr>
        <xdr:cNvPr id="11" name="Image 10"/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2447925"/>
          <a:ext cx="3430692" cy="1800000"/>
        </a:xfrm>
        <a:prstGeom prst="rect">
          <a:avLst/>
        </a:prstGeom>
      </xdr:spPr>
    </xdr:pic>
    <xdr:clientData/>
  </xdr:twoCellAnchor>
  <xdr:twoCellAnchor>
    <xdr:from>
      <xdr:col>10</xdr:col>
      <xdr:colOff>123825</xdr:colOff>
      <xdr:row>11</xdr:row>
      <xdr:rowOff>57150</xdr:rowOff>
    </xdr:from>
    <xdr:to>
      <xdr:col>14</xdr:col>
      <xdr:colOff>536899</xdr:colOff>
      <xdr:row>12</xdr:row>
      <xdr:rowOff>99721</xdr:rowOff>
    </xdr:to>
    <xdr:sp macro="" textlink="">
      <xdr:nvSpPr>
        <xdr:cNvPr id="12" name="ZoneTexte 11"/>
        <xdr:cNvSpPr txBox="1"/>
      </xdr:nvSpPr>
      <xdr:spPr>
        <a:xfrm>
          <a:off x="7743825" y="2152650"/>
          <a:ext cx="3461074" cy="233071"/>
        </a:xfrm>
        <a:prstGeom prst="rect">
          <a:avLst/>
        </a:prstGeom>
        <a:solidFill>
          <a:schemeClr val="bg2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 b="1"/>
            <a:t>Top 10  des pays les plus touchés par les inondations</a:t>
          </a:r>
        </a:p>
      </xdr:txBody>
    </xdr:sp>
    <xdr:clientData/>
  </xdr:twoCellAnchor>
  <xdr:twoCellAnchor editAs="oneCell">
    <xdr:from>
      <xdr:col>10</xdr:col>
      <xdr:colOff>142875</xdr:colOff>
      <xdr:row>12</xdr:row>
      <xdr:rowOff>133350</xdr:rowOff>
    </xdr:from>
    <xdr:to>
      <xdr:col>14</xdr:col>
      <xdr:colOff>525567</xdr:colOff>
      <xdr:row>22</xdr:row>
      <xdr:rowOff>28350</xdr:rowOff>
    </xdr:to>
    <xdr:pic>
      <xdr:nvPicPr>
        <xdr:cNvPr id="13" name="Image 12"/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62875" y="2419350"/>
          <a:ext cx="3430692" cy="18000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144780</xdr:colOff>
          <xdr:row>4</xdr:row>
          <xdr:rowOff>175260</xdr:rowOff>
        </xdr:from>
        <xdr:to>
          <xdr:col>3</xdr:col>
          <xdr:colOff>655320</xdr:colOff>
          <xdr:row>8</xdr:row>
          <xdr:rowOff>22860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Afficher les cartes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nicolas brouté" refreshedDate="43185.655261921296" createdVersion="6" refreshedVersion="6" minRefreshableVersion="3" recordCount="72">
  <cacheSource type="worksheet">
    <worksheetSource ref="H12:J84" sheet="Data"/>
  </cacheSource>
  <cacheFields count="3">
    <cacheField name="Mois" numFmtId="0">
      <sharedItems count="12">
        <s v="Janvier"/>
        <s v="Février"/>
        <s v="Mars"/>
        <s v="Avril"/>
        <s v="Mai"/>
        <s v="Juin"/>
        <s v="Juillet"/>
        <s v="Août"/>
        <s v="Septembre"/>
        <s v="Octobre"/>
        <s v="Novembre"/>
        <s v="Décembre"/>
      </sharedItems>
    </cacheField>
    <cacheField name="Theme" numFmtId="0">
      <sharedItems count="7">
        <s v="cyclone"/>
        <s v="inondation"/>
        <s v="ouragan"/>
        <s v="tremblement de terre"/>
        <s v="typhon"/>
        <s v="seisme"/>
        <s v="innondation" u="1"/>
      </sharedItems>
    </cacheField>
    <cacheField name="Nb" numFmtId="0">
      <sharedItems containsString="0" containsBlank="1" containsNumber="1" containsInteger="1" minValue="1" maxValue="78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nicolas brouté" refreshedDate="43185.655262384258" createdVersion="6" refreshedVersion="6" minRefreshableVersion="3" recordCount="114">
  <cacheSource type="worksheet">
    <worksheetSource ref="A3:E117" sheet="Data"/>
  </cacheSource>
  <cacheFields count="7">
    <cacheField name="Année" numFmtId="165">
      <sharedItems containsSemiMixedTypes="0" containsNonDate="0" containsDate="1" containsString="0" minDate="2000-06-22T00:00:00" maxDate="2018-07-03T00:00:00" count="114">
        <d v="2000-06-22T00:00:00"/>
        <d v="2000-06-23T00:00:00"/>
        <d v="2000-06-24T00:00:00"/>
        <d v="2000-06-25T00:00:00"/>
        <d v="2000-06-26T00:00:00"/>
        <d v="2000-06-27T00:00:00"/>
        <d v="2001-06-23T00:00:00"/>
        <d v="2001-06-24T00:00:00"/>
        <d v="2001-06-25T00:00:00"/>
        <d v="2001-06-26T00:00:00"/>
        <d v="2001-06-27T00:00:00"/>
        <d v="2001-06-28T00:00:00"/>
        <d v="2002-06-24T00:00:00"/>
        <d v="2002-06-25T00:00:00"/>
        <d v="2002-06-26T00:00:00"/>
        <d v="2002-06-27T00:00:00"/>
        <d v="2002-06-28T00:00:00"/>
        <d v="2002-06-29T00:00:00"/>
        <d v="2003-06-25T00:00:00"/>
        <d v="2003-06-26T00:00:00"/>
        <d v="2003-06-27T00:00:00"/>
        <d v="2003-06-28T00:00:00"/>
        <d v="2003-06-29T00:00:00"/>
        <d v="2003-06-30T00:00:00"/>
        <d v="2004-06-26T00:00:00"/>
        <d v="2004-06-27T00:00:00"/>
        <d v="2004-06-28T00:00:00"/>
        <d v="2004-06-29T00:00:00"/>
        <d v="2004-06-30T00:00:00"/>
        <d v="2004-07-01T00:00:00"/>
        <d v="2005-06-27T00:00:00"/>
        <d v="2005-06-28T00:00:00"/>
        <d v="2005-06-29T00:00:00"/>
        <d v="2005-06-30T00:00:00"/>
        <d v="2005-07-01T00:00:00"/>
        <d v="2005-07-02T00:00:00"/>
        <d v="2006-06-27T00:00:00"/>
        <d v="2006-06-28T00:00:00"/>
        <d v="2006-06-29T00:00:00"/>
        <d v="2006-06-30T00:00:00"/>
        <d v="2006-07-01T00:00:00"/>
        <d v="2006-07-02T00:00:00"/>
        <d v="2007-06-27T00:00:00"/>
        <d v="2007-06-28T00:00:00"/>
        <d v="2007-06-29T00:00:00"/>
        <d v="2007-06-30T00:00:00"/>
        <d v="2007-07-01T00:00:00"/>
        <d v="2007-07-02T00:00:00"/>
        <d v="2008-06-27T00:00:00"/>
        <d v="2008-06-28T00:00:00"/>
        <d v="2008-06-29T00:00:00"/>
        <d v="2008-06-30T00:00:00"/>
        <d v="2008-07-01T00:00:00"/>
        <d v="2008-07-02T00:00:00"/>
        <d v="2009-06-27T00:00:00"/>
        <d v="2009-06-28T00:00:00"/>
        <d v="2009-06-29T00:00:00"/>
        <d v="2009-06-30T00:00:00"/>
        <d v="2009-07-01T00:00:00"/>
        <d v="2009-07-02T00:00:00"/>
        <d v="2010-06-27T00:00:00"/>
        <d v="2010-06-28T00:00:00"/>
        <d v="2010-06-29T00:00:00"/>
        <d v="2010-06-30T00:00:00"/>
        <d v="2010-07-01T00:00:00"/>
        <d v="2010-07-02T00:00:00"/>
        <d v="2011-06-27T00:00:00"/>
        <d v="2011-06-28T00:00:00"/>
        <d v="2011-06-29T00:00:00"/>
        <d v="2011-06-30T00:00:00"/>
        <d v="2011-07-01T00:00:00"/>
        <d v="2011-07-02T00:00:00"/>
        <d v="2012-06-27T00:00:00"/>
        <d v="2012-06-28T00:00:00"/>
        <d v="2012-06-29T00:00:00"/>
        <d v="2012-06-30T00:00:00"/>
        <d v="2012-07-01T00:00:00"/>
        <d v="2012-07-02T00:00:00"/>
        <d v="2013-06-27T00:00:00"/>
        <d v="2013-06-28T00:00:00"/>
        <d v="2013-06-29T00:00:00"/>
        <d v="2013-06-30T00:00:00"/>
        <d v="2013-07-01T00:00:00"/>
        <d v="2013-07-02T00:00:00"/>
        <d v="2014-06-27T00:00:00"/>
        <d v="2014-06-28T00:00:00"/>
        <d v="2014-06-29T00:00:00"/>
        <d v="2014-06-30T00:00:00"/>
        <d v="2014-07-01T00:00:00"/>
        <d v="2014-07-02T00:00:00"/>
        <d v="2015-06-27T00:00:00"/>
        <d v="2015-06-28T00:00:00"/>
        <d v="2015-06-29T00:00:00"/>
        <d v="2015-06-30T00:00:00"/>
        <d v="2015-07-01T00:00:00"/>
        <d v="2015-07-02T00:00:00"/>
        <d v="2016-06-27T00:00:00"/>
        <d v="2016-06-28T00:00:00"/>
        <d v="2016-06-29T00:00:00"/>
        <d v="2016-06-30T00:00:00"/>
        <d v="2016-07-01T00:00:00"/>
        <d v="2016-07-02T00:00:00"/>
        <d v="2017-06-27T00:00:00"/>
        <d v="2017-06-28T00:00:00"/>
        <d v="2017-06-29T00:00:00"/>
        <d v="2017-06-30T00:00:00"/>
        <d v="2017-07-01T00:00:00"/>
        <d v="2017-07-02T00:00:00"/>
        <d v="2018-06-27T00:00:00"/>
        <d v="2018-06-28T00:00:00"/>
        <d v="2018-06-29T00:00:00"/>
        <d v="2018-06-30T00:00:00"/>
        <d v="2018-07-01T00:00:00"/>
        <d v="2018-07-02T00:00:00"/>
      </sharedItems>
      <fieldGroup par="6" base="0">
        <rangePr groupBy="months" startDate="2000-06-22T00:00:00" endDate="2018-07-03T00:00:00"/>
        <groupItems count="14">
          <s v="&lt;22/06/2000"/>
          <s v="janv"/>
          <s v="févr"/>
          <s v="mars"/>
          <s v="avr"/>
          <s v="mai"/>
          <s v="juin"/>
          <s v="juil"/>
          <s v="août"/>
          <s v="sept"/>
          <s v="oct"/>
          <s v="nov"/>
          <s v="déc"/>
          <s v="&gt;03/07/2018"/>
        </groupItems>
      </fieldGroup>
    </cacheField>
    <cacheField name="Thème" numFmtId="0">
      <sharedItems count="7">
        <s v="cyclone"/>
        <s v="inondation"/>
        <s v="ouragan"/>
        <s v="tremblement de terre"/>
        <s v="typhon"/>
        <s v="seisme"/>
        <s v="innondation" u="1"/>
      </sharedItems>
    </cacheField>
    <cacheField name="Nb article" numFmtId="166">
      <sharedItems containsString="0" containsBlank="1" containsNumber="1" containsInteger="1" minValue="1" maxValue="626"/>
    </cacheField>
    <cacheField name="Nb mort" numFmtId="166">
      <sharedItems containsString="0" containsBlank="1" containsNumber="1" containsInteger="1" minValue="15" maxValue="9629"/>
    </cacheField>
    <cacheField name="Cout" numFmtId="167">
      <sharedItems containsString="0" containsBlank="1" containsNumber="1" containsInteger="1" minValue="1750" maxValue="25097157200"/>
    </cacheField>
    <cacheField name="Trimestres" numFmtId="0" databaseField="0">
      <fieldGroup base="0">
        <rangePr groupBy="quarters" startDate="2000-06-22T00:00:00" endDate="2018-07-03T00:00:00"/>
        <groupItems count="6">
          <s v="&lt;22/06/2000"/>
          <s v="Trimestre1"/>
          <s v="Trimestre2"/>
          <s v="Trimestre3"/>
          <s v="Trimestre4"/>
          <s v="&gt;03/07/2018"/>
        </groupItems>
      </fieldGroup>
    </cacheField>
    <cacheField name="Années" numFmtId="0" databaseField="0">
      <fieldGroup base="0">
        <rangePr groupBy="years" startDate="2000-06-22T00:00:00" endDate="2018-07-03T00:00:00"/>
        <groupItems count="21">
          <s v="&lt;22/06/2000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2011"/>
          <s v="2012"/>
          <s v="2013"/>
          <s v="2014"/>
          <s v="2015"/>
          <s v="2016"/>
          <s v="2017"/>
          <s v="2018"/>
          <s v="&gt;03/07/2018"/>
        </groupItems>
      </fieldGroup>
    </cacheField>
  </cacheFields>
  <extLst>
    <ext xmlns:x14="http://schemas.microsoft.com/office/spreadsheetml/2009/9/main" uri="{725AE2AE-9491-48be-B2B4-4EB974FC3084}">
      <x14:pivotCacheDefinition pivotCacheId="4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72">
  <r>
    <x v="0"/>
    <x v="0"/>
    <n v="274"/>
  </r>
  <r>
    <x v="0"/>
    <x v="1"/>
    <n v="100"/>
  </r>
  <r>
    <x v="0"/>
    <x v="2"/>
    <n v="117"/>
  </r>
  <r>
    <x v="0"/>
    <x v="3"/>
    <n v="1"/>
  </r>
  <r>
    <x v="0"/>
    <x v="4"/>
    <n v="39"/>
  </r>
  <r>
    <x v="0"/>
    <x v="5"/>
    <n v="57"/>
  </r>
  <r>
    <x v="1"/>
    <x v="0"/>
    <n v="167"/>
  </r>
  <r>
    <x v="1"/>
    <x v="1"/>
    <n v="45"/>
  </r>
  <r>
    <x v="1"/>
    <x v="2"/>
    <n v="81"/>
  </r>
  <r>
    <x v="1"/>
    <x v="3"/>
    <n v="1"/>
  </r>
  <r>
    <x v="1"/>
    <x v="4"/>
    <n v="48"/>
  </r>
  <r>
    <x v="1"/>
    <x v="5"/>
    <n v="43"/>
  </r>
  <r>
    <x v="2"/>
    <x v="0"/>
    <n v="202"/>
  </r>
  <r>
    <x v="2"/>
    <x v="1"/>
    <n v="30"/>
  </r>
  <r>
    <x v="2"/>
    <x v="2"/>
    <n v="82"/>
  </r>
  <r>
    <x v="2"/>
    <x v="3"/>
    <n v="1"/>
  </r>
  <r>
    <x v="2"/>
    <x v="4"/>
    <n v="46"/>
  </r>
  <r>
    <x v="2"/>
    <x v="5"/>
    <n v="152"/>
  </r>
  <r>
    <x v="3"/>
    <x v="0"/>
    <n v="133"/>
  </r>
  <r>
    <x v="3"/>
    <x v="1"/>
    <n v="42"/>
  </r>
  <r>
    <x v="3"/>
    <x v="2"/>
    <n v="89"/>
  </r>
  <r>
    <x v="3"/>
    <x v="3"/>
    <m/>
  </r>
  <r>
    <x v="3"/>
    <x v="4"/>
    <n v="42"/>
  </r>
  <r>
    <x v="3"/>
    <x v="5"/>
    <n v="191"/>
  </r>
  <r>
    <x v="4"/>
    <x v="0"/>
    <n v="362"/>
  </r>
  <r>
    <x v="4"/>
    <x v="1"/>
    <n v="69"/>
  </r>
  <r>
    <x v="4"/>
    <x v="2"/>
    <n v="84"/>
  </r>
  <r>
    <x v="4"/>
    <x v="3"/>
    <n v="5"/>
  </r>
  <r>
    <x v="4"/>
    <x v="4"/>
    <n v="82"/>
  </r>
  <r>
    <x v="4"/>
    <x v="5"/>
    <n v="106"/>
  </r>
  <r>
    <x v="5"/>
    <x v="0"/>
    <n v="143"/>
  </r>
  <r>
    <x v="5"/>
    <x v="1"/>
    <n v="202"/>
  </r>
  <r>
    <x v="5"/>
    <x v="2"/>
    <n v="93"/>
  </r>
  <r>
    <x v="5"/>
    <x v="3"/>
    <n v="2"/>
  </r>
  <r>
    <x v="5"/>
    <x v="4"/>
    <n v="49"/>
  </r>
  <r>
    <x v="5"/>
    <x v="5"/>
    <n v="36"/>
  </r>
  <r>
    <x v="6"/>
    <x v="0"/>
    <n v="113"/>
  </r>
  <r>
    <x v="6"/>
    <x v="1"/>
    <n v="62"/>
  </r>
  <r>
    <x v="6"/>
    <x v="2"/>
    <n v="104"/>
  </r>
  <r>
    <x v="6"/>
    <x v="3"/>
    <m/>
  </r>
  <r>
    <x v="6"/>
    <x v="4"/>
    <n v="148"/>
  </r>
  <r>
    <x v="6"/>
    <x v="5"/>
    <n v="56"/>
  </r>
  <r>
    <x v="7"/>
    <x v="0"/>
    <n v="195"/>
  </r>
  <r>
    <x v="7"/>
    <x v="1"/>
    <n v="173"/>
  </r>
  <r>
    <x v="7"/>
    <x v="2"/>
    <n v="364"/>
  </r>
  <r>
    <x v="7"/>
    <x v="3"/>
    <n v="2"/>
  </r>
  <r>
    <x v="7"/>
    <x v="4"/>
    <n v="195"/>
  </r>
  <r>
    <x v="7"/>
    <x v="5"/>
    <n v="111"/>
  </r>
  <r>
    <x v="8"/>
    <x v="0"/>
    <n v="387"/>
  </r>
  <r>
    <x v="8"/>
    <x v="1"/>
    <n v="77"/>
  </r>
  <r>
    <x v="8"/>
    <x v="2"/>
    <n v="782"/>
  </r>
  <r>
    <x v="8"/>
    <x v="3"/>
    <n v="1"/>
  </r>
  <r>
    <x v="8"/>
    <x v="4"/>
    <n v="195"/>
  </r>
  <r>
    <x v="8"/>
    <x v="5"/>
    <n v="111"/>
  </r>
  <r>
    <x v="9"/>
    <x v="0"/>
    <n v="337"/>
  </r>
  <r>
    <x v="9"/>
    <x v="1"/>
    <n v="125"/>
  </r>
  <r>
    <x v="9"/>
    <x v="2"/>
    <n v="423"/>
  </r>
  <r>
    <x v="9"/>
    <x v="3"/>
    <n v="2"/>
  </r>
  <r>
    <x v="9"/>
    <x v="4"/>
    <n v="215"/>
  </r>
  <r>
    <x v="9"/>
    <x v="5"/>
    <n v="104"/>
  </r>
  <r>
    <x v="10"/>
    <x v="0"/>
    <n v="185"/>
  </r>
  <r>
    <x v="10"/>
    <x v="1"/>
    <n v="85"/>
  </r>
  <r>
    <x v="10"/>
    <x v="2"/>
    <n v="246"/>
  </r>
  <r>
    <x v="10"/>
    <x v="3"/>
    <n v="3"/>
  </r>
  <r>
    <x v="10"/>
    <x v="4"/>
    <n v="308"/>
  </r>
  <r>
    <x v="10"/>
    <x v="5"/>
    <n v="63"/>
  </r>
  <r>
    <x v="11"/>
    <x v="0"/>
    <n v="153"/>
  </r>
  <r>
    <x v="11"/>
    <x v="1"/>
    <n v="56"/>
  </r>
  <r>
    <x v="11"/>
    <x v="2"/>
    <n v="102"/>
  </r>
  <r>
    <x v="11"/>
    <x v="3"/>
    <m/>
  </r>
  <r>
    <x v="11"/>
    <x v="4"/>
    <n v="209"/>
  </r>
  <r>
    <x v="11"/>
    <x v="5"/>
    <n v="55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14">
  <r>
    <x v="0"/>
    <x v="0"/>
    <m/>
    <m/>
    <m/>
  </r>
  <r>
    <x v="1"/>
    <x v="1"/>
    <m/>
    <m/>
    <m/>
  </r>
  <r>
    <x v="2"/>
    <x v="2"/>
    <n v="65"/>
    <n v="1353"/>
    <n v="4871647614"/>
  </r>
  <r>
    <x v="3"/>
    <x v="3"/>
    <m/>
    <m/>
    <m/>
  </r>
  <r>
    <x v="4"/>
    <x v="4"/>
    <n v="11"/>
    <n v="4490"/>
    <n v="679586"/>
  </r>
  <r>
    <x v="5"/>
    <x v="5"/>
    <m/>
    <m/>
    <m/>
  </r>
  <r>
    <x v="6"/>
    <x v="0"/>
    <m/>
    <m/>
    <m/>
  </r>
  <r>
    <x v="7"/>
    <x v="1"/>
    <m/>
    <m/>
    <m/>
  </r>
  <r>
    <x v="8"/>
    <x v="2"/>
    <n v="87"/>
    <n v="399"/>
    <n v="17931163558"/>
  </r>
  <r>
    <x v="9"/>
    <x v="3"/>
    <m/>
    <m/>
    <m/>
  </r>
  <r>
    <x v="10"/>
    <x v="4"/>
    <n v="31"/>
    <n v="711"/>
    <n v="6226365697"/>
  </r>
  <r>
    <x v="11"/>
    <x v="5"/>
    <m/>
    <m/>
    <m/>
  </r>
  <r>
    <x v="12"/>
    <x v="0"/>
    <m/>
    <m/>
    <m/>
  </r>
  <r>
    <x v="13"/>
    <x v="1"/>
    <m/>
    <m/>
    <m/>
  </r>
  <r>
    <x v="14"/>
    <x v="2"/>
    <n v="57"/>
    <n v="452"/>
    <n v="7438693043"/>
  </r>
  <r>
    <x v="15"/>
    <x v="3"/>
    <m/>
    <m/>
    <m/>
  </r>
  <r>
    <x v="16"/>
    <x v="4"/>
    <n v="15"/>
    <n v="198"/>
    <n v="4760042872"/>
  </r>
  <r>
    <x v="17"/>
    <x v="5"/>
    <m/>
    <m/>
    <m/>
  </r>
  <r>
    <x v="18"/>
    <x v="0"/>
    <m/>
    <m/>
    <m/>
  </r>
  <r>
    <x v="19"/>
    <x v="1"/>
    <n v="9"/>
    <m/>
    <n v="2832002888"/>
  </r>
  <r>
    <x v="20"/>
    <x v="2"/>
    <n v="44"/>
    <n v="583"/>
    <n v="8661066938"/>
  </r>
  <r>
    <x v="21"/>
    <x v="3"/>
    <m/>
    <m/>
    <m/>
  </r>
  <r>
    <x v="22"/>
    <x v="4"/>
    <n v="7"/>
    <n v="1414"/>
    <n v="4758393208"/>
  </r>
  <r>
    <x v="23"/>
    <x v="5"/>
    <n v="1"/>
    <m/>
    <m/>
  </r>
  <r>
    <x v="24"/>
    <x v="0"/>
    <n v="5"/>
    <n v="1780"/>
    <m/>
  </r>
  <r>
    <x v="25"/>
    <x v="1"/>
    <n v="31"/>
    <n v="1267"/>
    <n v="6773938390"/>
  </r>
  <r>
    <x v="26"/>
    <x v="2"/>
    <n v="59"/>
    <n v="559"/>
    <n v="4633184667"/>
  </r>
  <r>
    <x v="27"/>
    <x v="3"/>
    <n v="1"/>
    <m/>
    <n v="2108333333"/>
  </r>
  <r>
    <x v="28"/>
    <x v="4"/>
    <n v="23"/>
    <n v="684"/>
    <n v="573194415"/>
  </r>
  <r>
    <x v="29"/>
    <x v="5"/>
    <n v="4"/>
    <n v="15"/>
    <n v="3117700125"/>
  </r>
  <r>
    <x v="30"/>
    <x v="0"/>
    <n v="47"/>
    <n v="823"/>
    <n v="4228576645"/>
  </r>
  <r>
    <x v="31"/>
    <x v="1"/>
    <n v="32"/>
    <n v="2946"/>
    <n v="3507845217"/>
  </r>
  <r>
    <x v="32"/>
    <x v="2"/>
    <n v="194"/>
    <n v="913"/>
    <n v="5414903364"/>
  </r>
  <r>
    <x v="33"/>
    <x v="3"/>
    <n v="2"/>
    <n v="9629"/>
    <n v="9750000000"/>
  </r>
  <r>
    <x v="34"/>
    <x v="4"/>
    <n v="7"/>
    <n v="182"/>
    <n v="1680538409"/>
  </r>
  <r>
    <x v="35"/>
    <x v="5"/>
    <n v="18"/>
    <n v="828"/>
    <n v="6779708461"/>
  </r>
  <r>
    <x v="36"/>
    <x v="0"/>
    <n v="17"/>
    <n v="1258"/>
    <n v="3666766666"/>
  </r>
  <r>
    <x v="37"/>
    <x v="1"/>
    <n v="37"/>
    <n v="1855"/>
    <n v="3713471892"/>
  </r>
  <r>
    <x v="38"/>
    <x v="2"/>
    <n v="27"/>
    <n v="580"/>
    <n v="3673384216"/>
  </r>
  <r>
    <x v="39"/>
    <x v="3"/>
    <n v="4"/>
    <n v="1158"/>
    <n v="1750"/>
  </r>
  <r>
    <x v="40"/>
    <x v="4"/>
    <n v="8"/>
    <n v="82"/>
    <n v="268086766"/>
  </r>
  <r>
    <x v="41"/>
    <x v="5"/>
    <n v="38"/>
    <n v="2519"/>
    <n v="2380922134"/>
  </r>
  <r>
    <x v="42"/>
    <x v="0"/>
    <n v="6"/>
    <n v="1491"/>
    <n v="44014220"/>
  </r>
  <r>
    <x v="43"/>
    <x v="1"/>
    <m/>
    <m/>
    <m/>
  </r>
  <r>
    <x v="44"/>
    <x v="2"/>
    <n v="85"/>
    <n v="1512"/>
    <n v="2397273349"/>
  </r>
  <r>
    <x v="45"/>
    <x v="3"/>
    <m/>
    <m/>
    <m/>
  </r>
  <r>
    <x v="46"/>
    <x v="4"/>
    <n v="13"/>
    <n v="440"/>
    <n v="25786856"/>
  </r>
  <r>
    <x v="47"/>
    <x v="5"/>
    <n v="4"/>
    <n v="70"/>
    <n v="114343483"/>
  </r>
  <r>
    <x v="48"/>
    <x v="0"/>
    <n v="321"/>
    <n v="2867"/>
    <n v="1604982178"/>
  </r>
  <r>
    <x v="49"/>
    <x v="1"/>
    <m/>
    <m/>
    <m/>
  </r>
  <r>
    <x v="50"/>
    <x v="2"/>
    <n v="117"/>
    <n v="1048"/>
    <n v="6180142771"/>
  </r>
  <r>
    <x v="51"/>
    <x v="3"/>
    <m/>
    <m/>
    <m/>
  </r>
  <r>
    <x v="52"/>
    <x v="4"/>
    <n v="73"/>
    <n v="1741"/>
    <n v="4379476748"/>
  </r>
  <r>
    <x v="53"/>
    <x v="5"/>
    <m/>
    <m/>
    <m/>
  </r>
  <r>
    <x v="54"/>
    <x v="0"/>
    <n v="78"/>
    <n v="1974"/>
    <n v="5450928523"/>
  </r>
  <r>
    <x v="55"/>
    <x v="1"/>
    <m/>
    <m/>
    <m/>
  </r>
  <r>
    <x v="56"/>
    <x v="2"/>
    <n v="57"/>
    <n v="869"/>
    <n v="820547320"/>
  </r>
  <r>
    <x v="57"/>
    <x v="3"/>
    <n v="2"/>
    <n v="39"/>
    <n v="112475031"/>
  </r>
  <r>
    <x v="58"/>
    <x v="4"/>
    <n v="95"/>
    <n v="1153"/>
    <n v="1452988638"/>
  </r>
  <r>
    <x v="59"/>
    <x v="5"/>
    <m/>
    <m/>
    <m/>
  </r>
  <r>
    <x v="60"/>
    <x v="0"/>
    <n v="213"/>
    <n v="1426"/>
    <n v="3953678860"/>
  </r>
  <r>
    <x v="61"/>
    <x v="1"/>
    <n v="161"/>
    <n v="1275"/>
    <n v="2941936701"/>
  </r>
  <r>
    <x v="62"/>
    <x v="2"/>
    <n v="166"/>
    <n v="1133"/>
    <n v="3288823279"/>
  </r>
  <r>
    <x v="63"/>
    <x v="3"/>
    <n v="2"/>
    <n v="30"/>
    <n v="190000"/>
  </r>
  <r>
    <x v="64"/>
    <x v="4"/>
    <n v="70"/>
    <n v="1603"/>
    <n v="1757612996"/>
  </r>
  <r>
    <x v="65"/>
    <x v="5"/>
    <n v="38"/>
    <n v="60"/>
    <n v="11614426409"/>
  </r>
  <r>
    <x v="66"/>
    <x v="0"/>
    <m/>
    <n v="1081"/>
    <n v="2837255128"/>
  </r>
  <r>
    <x v="67"/>
    <x v="1"/>
    <n v="316"/>
    <n v="1241"/>
    <n v="4542536803"/>
  </r>
  <r>
    <x v="68"/>
    <x v="2"/>
    <n v="155"/>
    <n v="1313"/>
    <n v="5019650566"/>
  </r>
  <r>
    <x v="69"/>
    <x v="3"/>
    <n v="2"/>
    <n v="316"/>
    <n v="124444600"/>
  </r>
  <r>
    <x v="70"/>
    <x v="4"/>
    <n v="125"/>
    <n v="1454"/>
    <n v="2499108957"/>
  </r>
  <r>
    <x v="71"/>
    <x v="5"/>
    <n v="319"/>
    <n v="1821"/>
    <n v="2845060930"/>
  </r>
  <r>
    <x v="72"/>
    <x v="0"/>
    <n v="203"/>
    <n v="911"/>
    <n v="2846486128"/>
  </r>
  <r>
    <x v="73"/>
    <x v="1"/>
    <n v="68"/>
    <n v="1505"/>
    <n v="3813933139"/>
  </r>
  <r>
    <x v="74"/>
    <x v="2"/>
    <n v="326"/>
    <n v="1073"/>
    <n v="6528706869"/>
  </r>
  <r>
    <x v="75"/>
    <x v="3"/>
    <n v="1"/>
    <n v="24"/>
    <n v="57500000"/>
  </r>
  <r>
    <x v="76"/>
    <x v="4"/>
    <n v="137"/>
    <n v="1086"/>
    <n v="2715239872"/>
  </r>
  <r>
    <x v="77"/>
    <x v="5"/>
    <n v="140"/>
    <n v="1175"/>
    <n v="144112498"/>
  </r>
  <r>
    <x v="78"/>
    <x v="0"/>
    <n v="208"/>
    <n v="1566"/>
    <n v="710496486"/>
  </r>
  <r>
    <x v="79"/>
    <x v="1"/>
    <n v="121"/>
    <n v="1417"/>
    <n v="3459816558"/>
  </r>
  <r>
    <x v="80"/>
    <x v="2"/>
    <n v="115"/>
    <n v="1516"/>
    <n v="9205031603"/>
  </r>
  <r>
    <x v="81"/>
    <x v="3"/>
    <n v="1"/>
    <n v="202"/>
    <n v="13000000"/>
  </r>
  <r>
    <x v="82"/>
    <x v="4"/>
    <n v="413"/>
    <n v="2290"/>
    <n v="1638513362"/>
  </r>
  <r>
    <x v="83"/>
    <x v="5"/>
    <n v="122"/>
    <n v="777"/>
    <n v="1515716215"/>
  </r>
  <r>
    <x v="84"/>
    <x v="0"/>
    <n v="246"/>
    <n v="762"/>
    <n v="2424452277"/>
  </r>
  <r>
    <x v="85"/>
    <x v="1"/>
    <n v="102"/>
    <n v="1280"/>
    <n v="1112203174"/>
  </r>
  <r>
    <x v="86"/>
    <x v="2"/>
    <n v="97"/>
    <n v="632"/>
    <n v="4159410999"/>
  </r>
  <r>
    <x v="87"/>
    <x v="3"/>
    <m/>
    <m/>
    <m/>
  </r>
  <r>
    <x v="88"/>
    <x v="4"/>
    <n v="200"/>
    <n v="1138"/>
    <n v="4117237634"/>
  </r>
  <r>
    <x v="89"/>
    <x v="5"/>
    <n v="64"/>
    <n v="692"/>
    <n v="2162030815"/>
  </r>
  <r>
    <x v="90"/>
    <x v="0"/>
    <n v="293"/>
    <n v="646"/>
    <n v="1897230346"/>
  </r>
  <r>
    <x v="91"/>
    <x v="1"/>
    <n v="80"/>
    <n v="774"/>
    <n v="1434885923"/>
  </r>
  <r>
    <x v="92"/>
    <x v="2"/>
    <n v="100"/>
    <n v="374"/>
    <n v="2800482607"/>
  </r>
  <r>
    <x v="93"/>
    <x v="3"/>
    <m/>
    <m/>
    <m/>
  </r>
  <r>
    <x v="94"/>
    <x v="4"/>
    <n v="181"/>
    <n v="2078"/>
    <n v="2643560412"/>
  </r>
  <r>
    <x v="95"/>
    <x v="5"/>
    <n v="67"/>
    <n v="1298"/>
    <n v="2145410317"/>
  </r>
  <r>
    <x v="96"/>
    <x v="0"/>
    <n v="233"/>
    <n v="1489"/>
    <n v="8309197488"/>
  </r>
  <r>
    <x v="97"/>
    <x v="1"/>
    <n v="164"/>
    <n v="1951"/>
    <n v="1582778687"/>
  </r>
  <r>
    <x v="98"/>
    <x v="2"/>
    <n v="177"/>
    <n v="582"/>
    <n v="1809510865"/>
  </r>
  <r>
    <x v="99"/>
    <x v="3"/>
    <m/>
    <m/>
    <m/>
  </r>
  <r>
    <x v="100"/>
    <x v="4"/>
    <n v="76"/>
    <n v="982"/>
    <n v="8116585246"/>
  </r>
  <r>
    <x v="101"/>
    <x v="5"/>
    <n v="161"/>
    <n v="1082"/>
    <n v="1123685868"/>
  </r>
  <r>
    <x v="102"/>
    <x v="0"/>
    <n v="538"/>
    <n v="1222"/>
    <n v="5882626061"/>
  </r>
  <r>
    <x v="103"/>
    <x v="1"/>
    <n v="117"/>
    <n v="1242"/>
    <n v="6310548682"/>
  </r>
  <r>
    <x v="104"/>
    <x v="2"/>
    <n v="626"/>
    <n v="738"/>
    <n v="6439694251"/>
  </r>
  <r>
    <x v="105"/>
    <x v="3"/>
    <m/>
    <m/>
    <m/>
  </r>
  <r>
    <x v="106"/>
    <x v="4"/>
    <n v="113"/>
    <n v="1332"/>
    <n v="5381703621"/>
  </r>
  <r>
    <x v="107"/>
    <x v="5"/>
    <n v="106"/>
    <n v="1433"/>
    <n v="2230629627"/>
  </r>
  <r>
    <x v="108"/>
    <x v="0"/>
    <n v="48"/>
    <n v="379"/>
    <n v="11379344139"/>
  </r>
  <r>
    <x v="109"/>
    <x v="1"/>
    <n v="23"/>
    <n v="448"/>
    <n v="15978872"/>
  </r>
  <r>
    <x v="110"/>
    <x v="2"/>
    <n v="13"/>
    <n v="1731"/>
    <n v="25097157200"/>
  </r>
  <r>
    <x v="111"/>
    <x v="3"/>
    <m/>
    <m/>
    <m/>
  </r>
  <r>
    <x v="112"/>
    <x v="4"/>
    <n v="3"/>
    <n v="291"/>
    <n v="31670666"/>
  </r>
  <r>
    <x v="113"/>
    <x v="5"/>
    <n v="9"/>
    <n v="660"/>
    <n v="4276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Tableau croisé dynamique5" cacheId="0" applyNumberFormats="0" applyBorderFormats="0" applyFontFormats="0" applyPatternFormats="0" applyAlignmentFormats="0" applyWidthHeightFormats="1" dataCaption="Valeurs" updatedVersion="6" minRefreshableVersion="3" useAutoFormatting="1" itemPrintTitles="1" createdVersion="6" indent="0" outline="1" outlineData="1" multipleFieldFilters="0" chartFormat="4">
  <location ref="A107:H121" firstHeaderRow="1" firstDataRow="2" firstDataCol="1"/>
  <pivotFields count="3">
    <pivotField axis="axisRow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axis="axisCol" showAll="0">
      <items count="8">
        <item x="0"/>
        <item m="1" x="6"/>
        <item x="2"/>
        <item x="5"/>
        <item x="3"/>
        <item x="4"/>
        <item x="1"/>
        <item t="default"/>
      </items>
    </pivotField>
    <pivotField dataField="1" showAl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1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Somme de Nb" fld="2" baseField="0" baseItem="0"/>
  </dataFields>
  <chartFormats count="7">
    <chartFormat chart="3" format="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3" format="1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3" format="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3" format="2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3" format="2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3" format="2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3" format="2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Tableau croisé dynamique4" cacheId="1" applyNumberFormats="0" applyBorderFormats="0" applyFontFormats="0" applyPatternFormats="0" applyAlignmentFormats="0" applyWidthHeightFormats="1" dataCaption="Valeurs" updatedVersion="6" minRefreshableVersion="3" useAutoFormatting="1" itemPrintTitles="1" createdVersion="6" indent="0" outline="1" outlineData="1" multipleFieldFilters="0" chartFormat="11">
  <location ref="A83:B103" firstHeaderRow="1" firstDataRow="1" firstDataCol="1"/>
  <pivotFields count="7">
    <pivotField numFmtId="165" showAll="0"/>
    <pivotField showAll="0"/>
    <pivotField dataField="1" showAll="0"/>
    <pivotField showAll="0"/>
    <pivotField showAll="0"/>
    <pivotField showAll="0" defaultSubtotal="0"/>
    <pivotField axis="axisRow" showAll="0" defaultSubtotal="0">
      <items count="2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</items>
    </pivotField>
  </pivotFields>
  <rowFields count="1">
    <field x="6"/>
  </rowFields>
  <rowItems count="20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 t="grand">
      <x/>
    </i>
  </rowItems>
  <colItems count="1">
    <i/>
  </colItems>
  <dataFields count="1">
    <dataField name="Somme de Nb article" fld="2" showDataAs="percentOfCol" baseField="6" baseItem="1" numFmtId="10"/>
  </dataFields>
  <formats count="2">
    <format dxfId="22">
      <pivotArea collapsedLevelsAreSubtotals="1" fieldPosition="0">
        <references count="1">
          <reference field="6" count="19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</reference>
        </references>
      </pivotArea>
    </format>
    <format dxfId="21">
      <pivotArea collapsedLevelsAreSubtotals="1" fieldPosition="0">
        <references count="1">
          <reference field="6" count="19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</reference>
        </references>
      </pivotArea>
    </format>
  </formats>
  <chartFormats count="1">
    <chartFormat chart="10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Tableau croisé dynamique3" cacheId="1" applyNumberFormats="0" applyBorderFormats="0" applyFontFormats="0" applyPatternFormats="0" applyAlignmentFormats="0" applyWidthHeightFormats="1" dataCaption="Valeurs" updatedVersion="6" minRefreshableVersion="3" useAutoFormatting="1" itemPrintTitles="1" createdVersion="6" indent="0" outline="1" outlineData="1" multipleFieldFilters="0" chartFormat="14">
  <location ref="A59:H64" firstHeaderRow="1" firstDataRow="2" firstDataCol="1"/>
  <pivotFields count="7">
    <pivotField numFmtId="165" showAll="0"/>
    <pivotField axis="axisCol" showAll="0">
      <items count="8">
        <item x="0"/>
        <item m="1" x="6"/>
        <item x="2"/>
        <item x="5"/>
        <item x="3"/>
        <item x="4"/>
        <item x="1"/>
        <item t="default"/>
      </items>
    </pivotField>
    <pivotField showAll="0"/>
    <pivotField showAll="0"/>
    <pivotField dataField="1" showAll="0"/>
    <pivotField showAll="0" defaultSubtotal="0"/>
    <pivotField axis="axisRow" showAll="0" defaultSubtotal="0">
      <items count="21">
        <item h="1" x="0"/>
        <item x="1"/>
        <item x="2"/>
        <item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</items>
    </pivotField>
  </pivotFields>
  <rowFields count="1">
    <field x="6"/>
  </rowFields>
  <rowItems count="4">
    <i>
      <x v="1"/>
    </i>
    <i>
      <x v="2"/>
    </i>
    <i>
      <x v="3"/>
    </i>
    <i t="grand">
      <x/>
    </i>
  </rowItems>
  <colFields count="1">
    <field x="1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Somme de Cout" fld="4" baseField="6" baseItem="1"/>
  </dataFields>
  <chartFormats count="13">
    <chartFormat chart="11" format="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11" format="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11" format="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11" format="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11" format="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11" format="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13" format="3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13" format="3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13" format="3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13" format="3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13" format="4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13" format="4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13" format="4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Tableau croisé dynamique2" cacheId="1" applyNumberFormats="0" applyBorderFormats="0" applyFontFormats="0" applyPatternFormats="0" applyAlignmentFormats="0" applyWidthHeightFormats="1" dataCaption="Valeurs" updatedVersion="6" minRefreshableVersion="3" useAutoFormatting="1" itemPrintTitles="1" createdVersion="6" indent="0" outline="1" outlineData="1" multipleFieldFilters="0" chartFormat="18">
  <location ref="A34:H39" firstHeaderRow="1" firstDataRow="2" firstDataCol="1"/>
  <pivotFields count="7">
    <pivotField numFmtId="165" showAll="0"/>
    <pivotField axis="axisCol" showAll="0">
      <items count="8">
        <item x="0"/>
        <item m="1" x="6"/>
        <item x="2"/>
        <item x="5"/>
        <item x="3"/>
        <item x="4"/>
        <item x="1"/>
        <item t="default"/>
      </items>
    </pivotField>
    <pivotField showAll="0"/>
    <pivotField dataField="1" showAll="0"/>
    <pivotField showAll="0"/>
    <pivotField showAll="0" defaultSubtotal="0"/>
    <pivotField axis="axisRow" showAll="0" defaultSubtotal="0">
      <items count="21">
        <item h="1" x="0"/>
        <item x="1"/>
        <item x="2"/>
        <item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</items>
    </pivotField>
  </pivotFields>
  <rowFields count="1">
    <field x="6"/>
  </rowFields>
  <rowItems count="4">
    <i>
      <x v="1"/>
    </i>
    <i>
      <x v="2"/>
    </i>
    <i>
      <x v="3"/>
    </i>
    <i t="grand">
      <x/>
    </i>
  </rowItems>
  <colFields count="1">
    <field x="1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Somme de Nb mort" fld="3" baseField="6" baseItem="1"/>
  </dataFields>
  <chartFormats count="13">
    <chartFormat chart="15" format="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15" format="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15" format="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15" format="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15" format="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15" format="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17" format="5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17" format="5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17" format="5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17" format="5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17" format="5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17" format="5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17" format="6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Tableau croisé dynamique1" cacheId="1" applyNumberFormats="0" applyBorderFormats="0" applyFontFormats="0" applyPatternFormats="0" applyAlignmentFormats="0" applyWidthHeightFormats="1" dataCaption="Valeurs" updatedVersion="6" minRefreshableVersion="3" useAutoFormatting="1" itemPrintTitles="1" createdVersion="6" indent="0" outline="1" outlineData="1" multipleFieldFilters="0" chartFormat="10">
  <location ref="A5:H10" firstHeaderRow="1" firstDataRow="2" firstDataCol="1"/>
  <pivotFields count="7">
    <pivotField numFmtId="165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Col" showAll="0">
      <items count="8">
        <item x="0"/>
        <item m="1" x="6"/>
        <item x="2"/>
        <item x="5"/>
        <item x="3"/>
        <item x="4"/>
        <item x="1"/>
        <item t="default"/>
      </items>
    </pivotField>
    <pivotField dataField="1" showAll="0"/>
    <pivotField showAll="0"/>
    <pivotField showAll="0"/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axis="axisRow" showAll="0" defaultSubtotal="0">
      <items count="21">
        <item h="1" sd="0" x="0"/>
        <item sd="0" x="1"/>
        <item sd="0" x="2"/>
        <item sd="0" x="3"/>
        <item h="1" sd="0" x="4"/>
        <item h="1" sd="0" x="5"/>
        <item h="1" sd="0" x="6"/>
        <item h="1" sd="0" x="7"/>
        <item h="1" sd="0" x="8"/>
        <item h="1" sd="0" x="9"/>
        <item h="1" sd="0" x="10"/>
        <item h="1" sd="0" x="11"/>
        <item h="1" sd="0" x="12"/>
        <item h="1" sd="0" x="13"/>
        <item h="1" sd="0" x="14"/>
        <item h="1" sd="0" x="15"/>
        <item h="1" sd="0" x="16"/>
        <item h="1" sd="0" x="17"/>
        <item h="1" sd="0" x="18"/>
        <item h="1" sd="0" x="19"/>
        <item h="1" sd="0" x="20"/>
      </items>
    </pivotField>
  </pivotFields>
  <rowFields count="1">
    <field x="6"/>
  </rowFields>
  <rowItems count="4">
    <i>
      <x v="1"/>
    </i>
    <i>
      <x v="2"/>
    </i>
    <i>
      <x v="3"/>
    </i>
    <i t="grand">
      <x/>
    </i>
  </rowItems>
  <colFields count="1">
    <field x="1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Somme de Nb article" fld="2" baseField="6" baseItem="9"/>
  </dataFields>
  <formats count="7">
    <format dxfId="29">
      <pivotArea outline="0" collapsedLevelsAreSubtotals="1" fieldPosition="0"/>
    </format>
    <format dxfId="28">
      <pivotArea outline="0" collapsedLevelsAreSubtotals="1" fieldPosition="0"/>
    </format>
    <format dxfId="27">
      <pivotArea outline="0" collapsedLevelsAreSubtotals="1" fieldPosition="0"/>
    </format>
    <format dxfId="26">
      <pivotArea outline="0" collapsedLevelsAreSubtotals="1" fieldPosition="0"/>
    </format>
    <format dxfId="25">
      <pivotArea outline="0" collapsedLevelsAreSubtotals="1" fieldPosition="0"/>
    </format>
    <format dxfId="24">
      <pivotArea outline="0" collapsedLevelsAreSubtotals="1" fieldPosition="0"/>
    </format>
    <format dxfId="23">
      <pivotArea outline="0" fieldPosition="0">
        <references count="1">
          <reference field="4294967294" count="1">
            <x v="0"/>
          </reference>
        </references>
      </pivotArea>
    </format>
  </formats>
  <chartFormats count="31">
    <chartFormat chart="2" format="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2" format="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2" format="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3" format="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3" format="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3" format="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3" format="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3" format="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3" format="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7" format="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4" format="4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7" format="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4" format="4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7" format="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4" format="4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7" format="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7" format="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7" format="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4" format="4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4" format="4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4" format="4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9" format="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9" format="1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9" format="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9" format="2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9" format="2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9" format="2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9" format="2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_Thème" sourceName="Thème">
  <pivotTables>
    <pivotTable tabId="3" name="Tableau croisé dynamique1"/>
    <pivotTable tabId="3" name="Tableau croisé dynamique2"/>
    <pivotTable tabId="3" name="Tableau croisé dynamique3"/>
  </pivotTables>
  <data>
    <tabular pivotCacheId="4">
      <items count="7">
        <i x="2" s="1"/>
        <i x="4" s="1"/>
        <i x="0" s="1" nd="1"/>
        <i x="6" s="1" nd="1"/>
        <i x="1" s="1" nd="1"/>
        <i x="5" s="1" nd="1"/>
        <i x="3" s="1" nd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_Années" sourceName="Années">
  <pivotTables>
    <pivotTable tabId="3" name="Tableau croisé dynamique1"/>
    <pivotTable tabId="3" name="Tableau croisé dynamique2"/>
    <pivotTable tabId="3" name="Tableau croisé dynamique3"/>
  </pivotTables>
  <data>
    <tabular pivotCacheId="4">
      <items count="21">
        <i x="1" s="1"/>
        <i x="2" s="1"/>
        <i x="3" s="1"/>
        <i x="4"/>
        <i x="5"/>
        <i x="6"/>
        <i x="7"/>
        <i x="8"/>
        <i x="9"/>
        <i x="10"/>
        <i x="11"/>
        <i x="12"/>
        <i x="13"/>
        <i x="14"/>
        <i x="15"/>
        <i x="16"/>
        <i x="17"/>
        <i x="18"/>
        <i x="19"/>
        <i x="0" nd="1"/>
        <i x="20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Thème" cache="Segment_Thème" caption="Thème" style="SlicerStyleLight3" rowHeight="241300"/>
  <slicer name="Années" cache="Segment_Années" caption="Années" style="SlicerStyleLight3" rowHeight="241300"/>
</slicer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2:T121"/>
  <sheetViews>
    <sheetView topLeftCell="A99" workbookViewId="0">
      <selection activeCell="A109" sqref="A109:G120"/>
    </sheetView>
  </sheetViews>
  <sheetFormatPr baseColWidth="10" defaultRowHeight="14.4" x14ac:dyDescent="0.3"/>
  <cols>
    <col min="1" max="1" width="19.5546875" customWidth="1"/>
    <col min="2" max="2" width="22.33203125" customWidth="1"/>
    <col min="3" max="3" width="12" customWidth="1"/>
    <col min="4" max="4" width="6.6640625" customWidth="1"/>
    <col min="5" max="5" width="19.109375" customWidth="1"/>
    <col min="6" max="6" width="12" customWidth="1"/>
    <col min="7" max="7" width="10.21875" customWidth="1"/>
    <col min="8" max="8" width="12" customWidth="1"/>
    <col min="12" max="12" width="21" bestFit="1" customWidth="1"/>
    <col min="13" max="13" width="23.88671875" bestFit="1" customWidth="1"/>
    <col min="14" max="14" width="11.88671875" customWidth="1"/>
    <col min="15" max="15" width="8.109375" customWidth="1"/>
    <col min="16" max="16" width="7.33203125" customWidth="1"/>
    <col min="17" max="17" width="20.5546875" customWidth="1"/>
    <col min="18" max="18" width="7.33203125" customWidth="1"/>
    <col min="19" max="19" width="12.5546875" customWidth="1"/>
    <col min="20" max="20" width="12.5546875" bestFit="1" customWidth="1"/>
  </cols>
  <sheetData>
    <row r="2" spans="1:20" x14ac:dyDescent="0.3">
      <c r="A2" t="s">
        <v>30</v>
      </c>
    </row>
    <row r="5" spans="1:20" x14ac:dyDescent="0.3">
      <c r="A5" s="1" t="s">
        <v>33</v>
      </c>
      <c r="B5" s="1" t="s">
        <v>22</v>
      </c>
    </row>
    <row r="6" spans="1:20" x14ac:dyDescent="0.3">
      <c r="A6" s="1" t="s">
        <v>1</v>
      </c>
      <c r="B6" t="s">
        <v>24</v>
      </c>
      <c r="C6" t="s">
        <v>25</v>
      </c>
      <c r="D6" t="s">
        <v>28</v>
      </c>
      <c r="E6" t="s">
        <v>26</v>
      </c>
      <c r="F6" t="s">
        <v>27</v>
      </c>
      <c r="G6" t="s">
        <v>68</v>
      </c>
      <c r="H6" t="s">
        <v>2</v>
      </c>
      <c r="L6" s="2"/>
      <c r="M6" s="3"/>
      <c r="N6" s="3"/>
      <c r="O6" s="3"/>
      <c r="P6" s="3"/>
      <c r="Q6" s="3"/>
      <c r="R6" s="3"/>
      <c r="S6" s="3"/>
      <c r="T6" s="3"/>
    </row>
    <row r="7" spans="1:20" x14ac:dyDescent="0.3">
      <c r="A7" s="2" t="s">
        <v>3</v>
      </c>
      <c r="B7" s="3"/>
      <c r="C7" s="3">
        <v>65</v>
      </c>
      <c r="D7" s="3"/>
      <c r="E7" s="3"/>
      <c r="F7" s="3">
        <v>11</v>
      </c>
      <c r="G7" s="3"/>
      <c r="H7" s="3">
        <v>76</v>
      </c>
      <c r="L7" s="2"/>
      <c r="M7" s="3"/>
      <c r="N7" s="3"/>
      <c r="O7" s="3"/>
      <c r="P7" s="3"/>
      <c r="Q7" s="3"/>
      <c r="R7" s="3"/>
      <c r="S7" s="3"/>
      <c r="T7" s="3"/>
    </row>
    <row r="8" spans="1:20" x14ac:dyDescent="0.3">
      <c r="A8" s="2" t="s">
        <v>4</v>
      </c>
      <c r="B8" s="3"/>
      <c r="C8" s="3">
        <v>87</v>
      </c>
      <c r="D8" s="3"/>
      <c r="E8" s="3"/>
      <c r="F8" s="3">
        <v>31</v>
      </c>
      <c r="G8" s="3"/>
      <c r="H8" s="3">
        <v>118</v>
      </c>
      <c r="L8" s="2"/>
      <c r="M8" s="3"/>
      <c r="N8" s="3"/>
      <c r="O8" s="3"/>
      <c r="P8" s="3"/>
      <c r="Q8" s="3"/>
      <c r="R8" s="3"/>
      <c r="S8" s="3"/>
      <c r="T8" s="3"/>
    </row>
    <row r="9" spans="1:20" x14ac:dyDescent="0.3">
      <c r="A9" s="2" t="s">
        <v>5</v>
      </c>
      <c r="B9" s="3"/>
      <c r="C9" s="3">
        <v>57</v>
      </c>
      <c r="D9" s="3"/>
      <c r="E9" s="3"/>
      <c r="F9" s="3">
        <v>15</v>
      </c>
      <c r="G9" s="3"/>
      <c r="H9" s="3">
        <v>72</v>
      </c>
      <c r="L9" s="2"/>
      <c r="M9" s="3"/>
      <c r="N9" s="3"/>
      <c r="O9" s="3"/>
      <c r="P9" s="3"/>
      <c r="Q9" s="3"/>
      <c r="R9" s="3"/>
      <c r="S9" s="3"/>
      <c r="T9" s="3"/>
    </row>
    <row r="10" spans="1:20" x14ac:dyDescent="0.3">
      <c r="A10" s="2" t="s">
        <v>2</v>
      </c>
      <c r="B10" s="3"/>
      <c r="C10" s="3">
        <v>209</v>
      </c>
      <c r="D10" s="3"/>
      <c r="E10" s="3"/>
      <c r="F10" s="3">
        <v>57</v>
      </c>
      <c r="G10" s="3"/>
      <c r="H10" s="3">
        <v>266</v>
      </c>
      <c r="L10" s="2"/>
      <c r="M10" s="3"/>
      <c r="N10" s="3"/>
      <c r="O10" s="3"/>
      <c r="P10" s="3"/>
      <c r="Q10" s="3"/>
      <c r="R10" s="3"/>
      <c r="S10" s="3"/>
      <c r="T10" s="3"/>
    </row>
    <row r="11" spans="1:20" x14ac:dyDescent="0.3">
      <c r="L11" s="2"/>
      <c r="M11" s="3"/>
      <c r="N11" s="3"/>
      <c r="O11" s="3"/>
      <c r="P11" s="3"/>
      <c r="Q11" s="3"/>
      <c r="R11" s="3"/>
      <c r="S11" s="3"/>
      <c r="T11" s="3"/>
    </row>
    <row r="12" spans="1:20" x14ac:dyDescent="0.3">
      <c r="L12" s="2"/>
      <c r="M12" s="3"/>
      <c r="N12" s="3"/>
      <c r="O12" s="3"/>
      <c r="P12" s="3"/>
      <c r="Q12" s="3"/>
      <c r="R12" s="3"/>
      <c r="S12" s="3"/>
      <c r="T12" s="3"/>
    </row>
    <row r="13" spans="1:20" x14ac:dyDescent="0.3">
      <c r="L13" s="2"/>
      <c r="M13" s="3"/>
      <c r="N13" s="3"/>
      <c r="O13" s="3"/>
      <c r="P13" s="3"/>
      <c r="Q13" s="3"/>
      <c r="R13" s="3"/>
      <c r="S13" s="3"/>
      <c r="T13" s="3"/>
    </row>
    <row r="14" spans="1:20" x14ac:dyDescent="0.3">
      <c r="L14" s="2"/>
      <c r="M14" s="3"/>
      <c r="N14" s="3"/>
      <c r="O14" s="3"/>
      <c r="P14" s="3"/>
      <c r="Q14" s="3"/>
      <c r="R14" s="3"/>
      <c r="S14" s="3"/>
      <c r="T14" s="3"/>
    </row>
    <row r="15" spans="1:20" x14ac:dyDescent="0.3">
      <c r="L15" s="2"/>
      <c r="M15" s="3"/>
      <c r="N15" s="3"/>
      <c r="O15" s="3"/>
      <c r="P15" s="3"/>
      <c r="Q15" s="3"/>
      <c r="R15" s="3"/>
      <c r="S15" s="3"/>
      <c r="T15" s="3"/>
    </row>
    <row r="16" spans="1:20" x14ac:dyDescent="0.3">
      <c r="L16" s="2"/>
      <c r="M16" s="3"/>
      <c r="N16" s="3"/>
      <c r="O16" s="3"/>
      <c r="P16" s="3"/>
      <c r="Q16" s="3"/>
      <c r="R16" s="3"/>
      <c r="S16" s="3"/>
      <c r="T16" s="3"/>
    </row>
    <row r="17" spans="12:20" x14ac:dyDescent="0.3">
      <c r="L17" s="2"/>
      <c r="M17" s="3"/>
      <c r="N17" s="3"/>
      <c r="O17" s="3"/>
      <c r="P17" s="3"/>
      <c r="Q17" s="3"/>
      <c r="R17" s="3"/>
      <c r="S17" s="3"/>
      <c r="T17" s="3"/>
    </row>
    <row r="18" spans="12:20" x14ac:dyDescent="0.3">
      <c r="L18" s="2"/>
      <c r="M18" s="3"/>
      <c r="N18" s="3"/>
      <c r="O18" s="3"/>
      <c r="P18" s="3"/>
      <c r="Q18" s="3"/>
      <c r="R18" s="3"/>
      <c r="S18" s="3"/>
      <c r="T18" s="3"/>
    </row>
    <row r="19" spans="12:20" x14ac:dyDescent="0.3">
      <c r="L19" s="2"/>
      <c r="M19" s="3"/>
      <c r="N19" s="3"/>
      <c r="O19" s="3"/>
      <c r="P19" s="3"/>
      <c r="Q19" s="3"/>
      <c r="R19" s="3"/>
      <c r="S19" s="3"/>
      <c r="T19" s="3"/>
    </row>
    <row r="20" spans="12:20" x14ac:dyDescent="0.3">
      <c r="L20" s="2"/>
      <c r="M20" s="3"/>
      <c r="N20" s="3"/>
      <c r="O20" s="3"/>
      <c r="P20" s="3"/>
      <c r="Q20" s="3"/>
      <c r="R20" s="3"/>
      <c r="S20" s="3"/>
      <c r="T20" s="3"/>
    </row>
    <row r="21" spans="12:20" x14ac:dyDescent="0.3">
      <c r="L21" s="2"/>
      <c r="M21" s="3"/>
      <c r="N21" s="3"/>
      <c r="O21" s="3"/>
      <c r="P21" s="3"/>
      <c r="Q21" s="3"/>
      <c r="R21" s="3"/>
      <c r="S21" s="3"/>
      <c r="T21" s="3"/>
    </row>
    <row r="22" spans="12:20" x14ac:dyDescent="0.3">
      <c r="L22" s="2"/>
      <c r="M22" s="3"/>
      <c r="N22" s="3"/>
      <c r="O22" s="3"/>
      <c r="P22" s="3"/>
      <c r="Q22" s="3"/>
      <c r="R22" s="3"/>
      <c r="S22" s="3"/>
      <c r="T22" s="3"/>
    </row>
    <row r="23" spans="12:20" x14ac:dyDescent="0.3">
      <c r="L23" s="2"/>
      <c r="M23" s="3"/>
      <c r="N23" s="3"/>
      <c r="O23" s="3"/>
      <c r="P23" s="3"/>
      <c r="Q23" s="3"/>
      <c r="R23" s="3"/>
      <c r="S23" s="3"/>
      <c r="T23" s="3"/>
    </row>
    <row r="24" spans="12:20" x14ac:dyDescent="0.3">
      <c r="L24" s="2"/>
      <c r="M24" s="3"/>
      <c r="N24" s="3"/>
      <c r="O24" s="3"/>
      <c r="P24" s="3"/>
      <c r="Q24" s="3"/>
      <c r="R24" s="3"/>
      <c r="S24" s="3"/>
      <c r="T24" s="3"/>
    </row>
    <row r="25" spans="12:20" x14ac:dyDescent="0.3">
      <c r="L25" s="2"/>
      <c r="M25" s="3"/>
      <c r="N25" s="3"/>
      <c r="O25" s="3"/>
      <c r="P25" s="3"/>
      <c r="Q25" s="3"/>
      <c r="R25" s="3"/>
      <c r="S25" s="3"/>
      <c r="T25" s="3"/>
    </row>
    <row r="34" spans="1:8" x14ac:dyDescent="0.3">
      <c r="A34" s="1" t="s">
        <v>34</v>
      </c>
      <c r="B34" s="1" t="s">
        <v>22</v>
      </c>
    </row>
    <row r="35" spans="1:8" x14ac:dyDescent="0.3">
      <c r="A35" s="1" t="s">
        <v>1</v>
      </c>
      <c r="B35" t="s">
        <v>24</v>
      </c>
      <c r="C35" t="s">
        <v>25</v>
      </c>
      <c r="D35" t="s">
        <v>28</v>
      </c>
      <c r="E35" t="s">
        <v>26</v>
      </c>
      <c r="F35" t="s">
        <v>27</v>
      </c>
      <c r="G35" t="s">
        <v>68</v>
      </c>
      <c r="H35" t="s">
        <v>2</v>
      </c>
    </row>
    <row r="36" spans="1:8" x14ac:dyDescent="0.3">
      <c r="A36" s="2" t="s">
        <v>3</v>
      </c>
      <c r="B36" s="3"/>
      <c r="C36" s="3">
        <v>1353</v>
      </c>
      <c r="D36" s="3"/>
      <c r="E36" s="3"/>
      <c r="F36" s="3">
        <v>4490</v>
      </c>
      <c r="G36" s="3"/>
      <c r="H36" s="3">
        <v>5843</v>
      </c>
    </row>
    <row r="37" spans="1:8" x14ac:dyDescent="0.3">
      <c r="A37" s="2" t="s">
        <v>4</v>
      </c>
      <c r="B37" s="3"/>
      <c r="C37" s="3">
        <v>399</v>
      </c>
      <c r="D37" s="3"/>
      <c r="E37" s="3"/>
      <c r="F37" s="3">
        <v>711</v>
      </c>
      <c r="G37" s="3"/>
      <c r="H37" s="3">
        <v>1110</v>
      </c>
    </row>
    <row r="38" spans="1:8" x14ac:dyDescent="0.3">
      <c r="A38" s="2" t="s">
        <v>5</v>
      </c>
      <c r="B38" s="3"/>
      <c r="C38" s="3">
        <v>452</v>
      </c>
      <c r="D38" s="3"/>
      <c r="E38" s="3"/>
      <c r="F38" s="3">
        <v>198</v>
      </c>
      <c r="G38" s="3"/>
      <c r="H38" s="3">
        <v>650</v>
      </c>
    </row>
    <row r="39" spans="1:8" x14ac:dyDescent="0.3">
      <c r="A39" s="2" t="s">
        <v>2</v>
      </c>
      <c r="B39" s="3"/>
      <c r="C39" s="3">
        <v>2204</v>
      </c>
      <c r="D39" s="3"/>
      <c r="E39" s="3"/>
      <c r="F39" s="3">
        <v>5399</v>
      </c>
      <c r="G39" s="3"/>
      <c r="H39" s="3">
        <v>7603</v>
      </c>
    </row>
    <row r="59" spans="1:8" x14ac:dyDescent="0.3">
      <c r="A59" s="1" t="s">
        <v>40</v>
      </c>
      <c r="B59" s="1" t="s">
        <v>22</v>
      </c>
    </row>
    <row r="60" spans="1:8" x14ac:dyDescent="0.3">
      <c r="A60" s="1" t="s">
        <v>1</v>
      </c>
      <c r="B60" t="s">
        <v>24</v>
      </c>
      <c r="C60" t="s">
        <v>25</v>
      </c>
      <c r="D60" t="s">
        <v>28</v>
      </c>
      <c r="E60" t="s">
        <v>26</v>
      </c>
      <c r="F60" t="s">
        <v>27</v>
      </c>
      <c r="G60" t="s">
        <v>68</v>
      </c>
      <c r="H60" t="s">
        <v>2</v>
      </c>
    </row>
    <row r="61" spans="1:8" x14ac:dyDescent="0.3">
      <c r="A61" s="2" t="s">
        <v>3</v>
      </c>
      <c r="B61" s="3"/>
      <c r="C61" s="3">
        <v>4871647614</v>
      </c>
      <c r="D61" s="3"/>
      <c r="E61" s="3"/>
      <c r="F61" s="3">
        <v>679586</v>
      </c>
      <c r="G61" s="3"/>
      <c r="H61" s="3">
        <v>4872327200</v>
      </c>
    </row>
    <row r="62" spans="1:8" x14ac:dyDescent="0.3">
      <c r="A62" s="2" t="s">
        <v>4</v>
      </c>
      <c r="B62" s="3"/>
      <c r="C62" s="3">
        <v>17931163558</v>
      </c>
      <c r="D62" s="3"/>
      <c r="E62" s="3"/>
      <c r="F62" s="3">
        <v>6226365697</v>
      </c>
      <c r="G62" s="3"/>
      <c r="H62" s="3">
        <v>24157529255</v>
      </c>
    </row>
    <row r="63" spans="1:8" x14ac:dyDescent="0.3">
      <c r="A63" s="2" t="s">
        <v>5</v>
      </c>
      <c r="B63" s="3"/>
      <c r="C63" s="3">
        <v>7438693043</v>
      </c>
      <c r="D63" s="3"/>
      <c r="E63" s="3"/>
      <c r="F63" s="3">
        <v>4760042872</v>
      </c>
      <c r="G63" s="3"/>
      <c r="H63" s="3">
        <v>12198735915</v>
      </c>
    </row>
    <row r="64" spans="1:8" x14ac:dyDescent="0.3">
      <c r="A64" s="2" t="s">
        <v>2</v>
      </c>
      <c r="B64" s="3"/>
      <c r="C64" s="3">
        <v>30241504215</v>
      </c>
      <c r="D64" s="3"/>
      <c r="E64" s="3"/>
      <c r="F64" s="3">
        <v>10987088155</v>
      </c>
      <c r="G64" s="3"/>
      <c r="H64" s="3">
        <v>41228592370</v>
      </c>
    </row>
    <row r="83" spans="1:2" x14ac:dyDescent="0.3">
      <c r="A83" s="1" t="s">
        <v>1</v>
      </c>
      <c r="B83" t="s">
        <v>33</v>
      </c>
    </row>
    <row r="84" spans="1:2" x14ac:dyDescent="0.3">
      <c r="A84" s="2" t="s">
        <v>3</v>
      </c>
      <c r="B84" s="6">
        <v>8.4528973417862304E-3</v>
      </c>
    </row>
    <row r="85" spans="1:2" x14ac:dyDescent="0.3">
      <c r="A85" s="2" t="s">
        <v>4</v>
      </c>
      <c r="B85" s="6">
        <v>1.3124235346457569E-2</v>
      </c>
    </row>
    <row r="86" spans="1:2" x14ac:dyDescent="0.3">
      <c r="A86" s="2" t="s">
        <v>5</v>
      </c>
      <c r="B86" s="6">
        <v>8.0080080080080079E-3</v>
      </c>
    </row>
    <row r="87" spans="1:2" x14ac:dyDescent="0.3">
      <c r="A87" s="2" t="s">
        <v>6</v>
      </c>
      <c r="B87" s="6">
        <v>6.7845623401178957E-3</v>
      </c>
    </row>
    <row r="88" spans="1:2" x14ac:dyDescent="0.3">
      <c r="A88" s="2" t="s">
        <v>7</v>
      </c>
      <c r="B88" s="6">
        <v>1.3680347013680347E-2</v>
      </c>
    </row>
    <row r="89" spans="1:2" x14ac:dyDescent="0.3">
      <c r="A89" s="2" t="s">
        <v>8</v>
      </c>
      <c r="B89" s="6">
        <v>3.3366700033366697E-2</v>
      </c>
    </row>
    <row r="90" spans="1:2" x14ac:dyDescent="0.3">
      <c r="A90" s="2" t="s">
        <v>9</v>
      </c>
      <c r="B90" s="6">
        <v>1.4570125681236792E-2</v>
      </c>
    </row>
    <row r="91" spans="1:2" x14ac:dyDescent="0.3">
      <c r="A91" s="2" t="s">
        <v>10</v>
      </c>
      <c r="B91" s="6">
        <v>1.2012012012012012E-2</v>
      </c>
    </row>
    <row r="92" spans="1:2" x14ac:dyDescent="0.3">
      <c r="A92" s="2" t="s">
        <v>11</v>
      </c>
      <c r="B92" s="6">
        <v>5.6834612390167946E-2</v>
      </c>
    </row>
    <row r="93" spans="1:2" x14ac:dyDescent="0.3">
      <c r="A93" s="2" t="s">
        <v>12</v>
      </c>
      <c r="B93" s="6">
        <v>2.5803581359136914E-2</v>
      </c>
    </row>
    <row r="94" spans="1:2" x14ac:dyDescent="0.3">
      <c r="A94" s="2" t="s">
        <v>13</v>
      </c>
      <c r="B94" s="6">
        <v>7.2294516738961187E-2</v>
      </c>
    </row>
    <row r="95" spans="1:2" x14ac:dyDescent="0.3">
      <c r="A95" s="2" t="s">
        <v>14</v>
      </c>
      <c r="B95" s="6">
        <v>0.10199087976865755</v>
      </c>
    </row>
    <row r="96" spans="1:2" x14ac:dyDescent="0.3">
      <c r="A96" s="2" t="s">
        <v>15</v>
      </c>
      <c r="B96" s="6">
        <v>9.7319541763986203E-2</v>
      </c>
    </row>
    <row r="97" spans="1:8" x14ac:dyDescent="0.3">
      <c r="A97" s="2" t="s">
        <v>16</v>
      </c>
      <c r="B97" s="6">
        <v>0.10899788677566455</v>
      </c>
    </row>
    <row r="98" spans="1:8" x14ac:dyDescent="0.3">
      <c r="A98" s="2" t="s">
        <v>17</v>
      </c>
      <c r="B98" s="6">
        <v>7.8856634412189971E-2</v>
      </c>
    </row>
    <row r="99" spans="1:8" x14ac:dyDescent="0.3">
      <c r="A99" s="2" t="s">
        <v>18</v>
      </c>
      <c r="B99" s="6">
        <v>8.0191302413524637E-2</v>
      </c>
    </row>
    <row r="100" spans="1:8" x14ac:dyDescent="0.3">
      <c r="A100" s="2" t="s">
        <v>19</v>
      </c>
      <c r="B100" s="6">
        <v>9.0201312423534644E-2</v>
      </c>
    </row>
    <row r="101" spans="1:8" x14ac:dyDescent="0.3">
      <c r="A101" s="2" t="s">
        <v>20</v>
      </c>
      <c r="B101" s="6">
        <v>0.16683350016683349</v>
      </c>
    </row>
    <row r="102" spans="1:8" x14ac:dyDescent="0.3">
      <c r="A102" s="2" t="s">
        <v>21</v>
      </c>
      <c r="B102" s="6">
        <v>1.0677344010677344E-2</v>
      </c>
    </row>
    <row r="103" spans="1:8" x14ac:dyDescent="0.3">
      <c r="A103" s="2" t="s">
        <v>2</v>
      </c>
      <c r="B103" s="19">
        <v>1</v>
      </c>
    </row>
    <row r="107" spans="1:8" x14ac:dyDescent="0.3">
      <c r="A107" s="1" t="s">
        <v>62</v>
      </c>
      <c r="B107" s="1" t="s">
        <v>22</v>
      </c>
    </row>
    <row r="108" spans="1:8" x14ac:dyDescent="0.3">
      <c r="A108" s="1" t="s">
        <v>1</v>
      </c>
      <c r="B108" t="s">
        <v>24</v>
      </c>
      <c r="C108" t="s">
        <v>25</v>
      </c>
      <c r="D108" t="s">
        <v>28</v>
      </c>
      <c r="E108" t="s">
        <v>26</v>
      </c>
      <c r="F108" t="s">
        <v>27</v>
      </c>
      <c r="G108" t="s">
        <v>68</v>
      </c>
      <c r="H108" t="s">
        <v>2</v>
      </c>
    </row>
    <row r="109" spans="1:8" x14ac:dyDescent="0.3">
      <c r="A109" s="2" t="s">
        <v>48</v>
      </c>
      <c r="B109" s="3">
        <v>274</v>
      </c>
      <c r="C109" s="3">
        <v>117</v>
      </c>
      <c r="D109" s="3">
        <v>57</v>
      </c>
      <c r="E109" s="3">
        <v>1</v>
      </c>
      <c r="F109" s="3">
        <v>39</v>
      </c>
      <c r="G109" s="3">
        <v>100</v>
      </c>
      <c r="H109" s="3">
        <v>588</v>
      </c>
    </row>
    <row r="110" spans="1:8" x14ac:dyDescent="0.3">
      <c r="A110" s="2" t="s">
        <v>51</v>
      </c>
      <c r="B110" s="3">
        <v>167</v>
      </c>
      <c r="C110" s="3">
        <v>81</v>
      </c>
      <c r="D110" s="3">
        <v>43</v>
      </c>
      <c r="E110" s="3">
        <v>1</v>
      </c>
      <c r="F110" s="3">
        <v>48</v>
      </c>
      <c r="G110" s="3">
        <v>45</v>
      </c>
      <c r="H110" s="3">
        <v>385</v>
      </c>
    </row>
    <row r="111" spans="1:8" x14ac:dyDescent="0.3">
      <c r="A111" s="2" t="s">
        <v>52</v>
      </c>
      <c r="B111" s="3">
        <v>202</v>
      </c>
      <c r="C111" s="3">
        <v>82</v>
      </c>
      <c r="D111" s="3">
        <v>152</v>
      </c>
      <c r="E111" s="3">
        <v>1</v>
      </c>
      <c r="F111" s="3">
        <v>46</v>
      </c>
      <c r="G111" s="3">
        <v>30</v>
      </c>
      <c r="H111" s="3">
        <v>513</v>
      </c>
    </row>
    <row r="112" spans="1:8" x14ac:dyDescent="0.3">
      <c r="A112" s="2" t="s">
        <v>53</v>
      </c>
      <c r="B112" s="3">
        <v>133</v>
      </c>
      <c r="C112" s="3">
        <v>89</v>
      </c>
      <c r="D112" s="3">
        <v>191</v>
      </c>
      <c r="E112" s="3"/>
      <c r="F112" s="3">
        <v>42</v>
      </c>
      <c r="G112" s="3">
        <v>42</v>
      </c>
      <c r="H112" s="3">
        <v>497</v>
      </c>
    </row>
    <row r="113" spans="1:8" x14ac:dyDescent="0.3">
      <c r="A113" s="2" t="s">
        <v>54</v>
      </c>
      <c r="B113" s="3">
        <v>362</v>
      </c>
      <c r="C113" s="3">
        <v>84</v>
      </c>
      <c r="D113" s="3">
        <v>106</v>
      </c>
      <c r="E113" s="3">
        <v>5</v>
      </c>
      <c r="F113" s="3">
        <v>82</v>
      </c>
      <c r="G113" s="3">
        <v>69</v>
      </c>
      <c r="H113" s="3">
        <v>708</v>
      </c>
    </row>
    <row r="114" spans="1:8" x14ac:dyDescent="0.3">
      <c r="A114" s="2" t="s">
        <v>55</v>
      </c>
      <c r="B114" s="3">
        <v>143</v>
      </c>
      <c r="C114" s="3">
        <v>93</v>
      </c>
      <c r="D114" s="3">
        <v>36</v>
      </c>
      <c r="E114" s="3">
        <v>2</v>
      </c>
      <c r="F114" s="3">
        <v>49</v>
      </c>
      <c r="G114" s="3">
        <v>202</v>
      </c>
      <c r="H114" s="3">
        <v>525</v>
      </c>
    </row>
    <row r="115" spans="1:8" x14ac:dyDescent="0.3">
      <c r="A115" s="2" t="s">
        <v>56</v>
      </c>
      <c r="B115" s="3">
        <v>113</v>
      </c>
      <c r="C115" s="3">
        <v>104</v>
      </c>
      <c r="D115" s="3">
        <v>56</v>
      </c>
      <c r="E115" s="3"/>
      <c r="F115" s="3">
        <v>148</v>
      </c>
      <c r="G115" s="3">
        <v>62</v>
      </c>
      <c r="H115" s="3">
        <v>483</v>
      </c>
    </row>
    <row r="116" spans="1:8" x14ac:dyDescent="0.3">
      <c r="A116" s="2" t="s">
        <v>57</v>
      </c>
      <c r="B116" s="3">
        <v>195</v>
      </c>
      <c r="C116" s="3">
        <v>364</v>
      </c>
      <c r="D116" s="3">
        <v>111</v>
      </c>
      <c r="E116" s="3">
        <v>2</v>
      </c>
      <c r="F116" s="3">
        <v>195</v>
      </c>
      <c r="G116" s="3">
        <v>173</v>
      </c>
      <c r="H116" s="3">
        <v>1040</v>
      </c>
    </row>
    <row r="117" spans="1:8" x14ac:dyDescent="0.3">
      <c r="A117" s="2" t="s">
        <v>58</v>
      </c>
      <c r="B117" s="3">
        <v>387</v>
      </c>
      <c r="C117" s="3">
        <v>782</v>
      </c>
      <c r="D117" s="3">
        <v>111</v>
      </c>
      <c r="E117" s="3">
        <v>1</v>
      </c>
      <c r="F117" s="3">
        <v>195</v>
      </c>
      <c r="G117" s="3">
        <v>77</v>
      </c>
      <c r="H117" s="3">
        <v>1553</v>
      </c>
    </row>
    <row r="118" spans="1:8" x14ac:dyDescent="0.3">
      <c r="A118" s="2" t="s">
        <v>59</v>
      </c>
      <c r="B118" s="3">
        <v>337</v>
      </c>
      <c r="C118" s="3">
        <v>423</v>
      </c>
      <c r="D118" s="3">
        <v>104</v>
      </c>
      <c r="E118" s="3">
        <v>2</v>
      </c>
      <c r="F118" s="3">
        <v>215</v>
      </c>
      <c r="G118" s="3">
        <v>125</v>
      </c>
      <c r="H118" s="3">
        <v>1206</v>
      </c>
    </row>
    <row r="119" spans="1:8" x14ac:dyDescent="0.3">
      <c r="A119" s="2" t="s">
        <v>60</v>
      </c>
      <c r="B119" s="3">
        <v>185</v>
      </c>
      <c r="C119" s="3">
        <v>246</v>
      </c>
      <c r="D119" s="3">
        <v>63</v>
      </c>
      <c r="E119" s="3">
        <v>3</v>
      </c>
      <c r="F119" s="3">
        <v>308</v>
      </c>
      <c r="G119" s="3">
        <v>85</v>
      </c>
      <c r="H119" s="3">
        <v>890</v>
      </c>
    </row>
    <row r="120" spans="1:8" x14ac:dyDescent="0.3">
      <c r="A120" s="2" t="s">
        <v>61</v>
      </c>
      <c r="B120" s="3">
        <v>153</v>
      </c>
      <c r="C120" s="3">
        <v>102</v>
      </c>
      <c r="D120" s="3">
        <v>55</v>
      </c>
      <c r="E120" s="3"/>
      <c r="F120" s="3">
        <v>209</v>
      </c>
      <c r="G120" s="3">
        <v>56</v>
      </c>
      <c r="H120" s="3">
        <v>575</v>
      </c>
    </row>
    <row r="121" spans="1:8" x14ac:dyDescent="0.3">
      <c r="A121" s="2" t="s">
        <v>2</v>
      </c>
      <c r="B121" s="3">
        <v>2651</v>
      </c>
      <c r="C121" s="3">
        <v>2567</v>
      </c>
      <c r="D121" s="3">
        <v>1085</v>
      </c>
      <c r="E121" s="3">
        <v>18</v>
      </c>
      <c r="F121" s="3">
        <v>1576</v>
      </c>
      <c r="G121" s="3">
        <v>1066</v>
      </c>
      <c r="H121" s="3">
        <v>8963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N117"/>
  <sheetViews>
    <sheetView topLeftCell="B12" zoomScale="85" zoomScaleNormal="85" workbookViewId="0">
      <selection activeCell="H12" sqref="H12:J84"/>
    </sheetView>
  </sheetViews>
  <sheetFormatPr baseColWidth="10" defaultRowHeight="14.4" x14ac:dyDescent="0.3"/>
  <cols>
    <col min="1" max="1" width="20.5546875" style="4" bestFit="1" customWidth="1"/>
    <col min="2" max="2" width="21" bestFit="1" customWidth="1"/>
    <col min="5" max="5" width="20.33203125" style="20" bestFit="1" customWidth="1"/>
    <col min="6" max="6" width="24.88671875" style="7" bestFit="1" customWidth="1"/>
    <col min="7" max="7" width="21" bestFit="1" customWidth="1"/>
    <col min="9" max="9" width="21" bestFit="1" customWidth="1"/>
  </cols>
  <sheetData>
    <row r="1" spans="1:14" x14ac:dyDescent="0.3">
      <c r="A1" s="4" t="s">
        <v>23</v>
      </c>
    </row>
    <row r="2" spans="1:14" x14ac:dyDescent="0.3">
      <c r="H2" t="s">
        <v>46</v>
      </c>
      <c r="I2" t="s">
        <v>47</v>
      </c>
    </row>
    <row r="3" spans="1:14" x14ac:dyDescent="0.3">
      <c r="A3" s="5" t="s">
        <v>0</v>
      </c>
      <c r="B3" t="s">
        <v>29</v>
      </c>
      <c r="C3" t="s">
        <v>31</v>
      </c>
      <c r="D3" t="s">
        <v>32</v>
      </c>
      <c r="E3" s="20" t="s">
        <v>39</v>
      </c>
      <c r="F3" s="5"/>
      <c r="H3" t="s">
        <v>41</v>
      </c>
      <c r="I3">
        <v>1741</v>
      </c>
      <c r="J3" s="21">
        <f>I3/$I$8</f>
        <v>0.16222512113306001</v>
      </c>
    </row>
    <row r="4" spans="1:14" x14ac:dyDescent="0.3">
      <c r="A4" s="5">
        <v>36699</v>
      </c>
      <c r="B4" t="s">
        <v>24</v>
      </c>
      <c r="C4" s="7"/>
      <c r="D4" s="7"/>
      <c r="F4" s="5"/>
      <c r="H4" t="s">
        <v>42</v>
      </c>
      <c r="I4">
        <v>2154</v>
      </c>
      <c r="J4" s="21">
        <f t="shared" ref="J4:J7" si="0">I4/$I$8</f>
        <v>0.20070816250465898</v>
      </c>
    </row>
    <row r="5" spans="1:14" x14ac:dyDescent="0.3">
      <c r="A5" s="5">
        <v>36700</v>
      </c>
      <c r="B5" t="s">
        <v>68</v>
      </c>
      <c r="C5" s="7"/>
      <c r="D5" s="7"/>
      <c r="F5" s="5"/>
      <c r="H5" t="s">
        <v>43</v>
      </c>
      <c r="I5">
        <v>3969</v>
      </c>
      <c r="J5" s="21">
        <f t="shared" si="0"/>
        <v>0.36982855013045096</v>
      </c>
    </row>
    <row r="6" spans="1:14" x14ac:dyDescent="0.3">
      <c r="A6" s="5">
        <v>36701</v>
      </c>
      <c r="B6" t="s">
        <v>25</v>
      </c>
      <c r="C6" s="7">
        <v>65</v>
      </c>
      <c r="D6" s="7">
        <v>1353</v>
      </c>
      <c r="E6" s="20">
        <v>4871647614</v>
      </c>
      <c r="F6" s="5"/>
      <c r="H6" t="s">
        <v>44</v>
      </c>
      <c r="I6">
        <v>362</v>
      </c>
      <c r="J6" s="21">
        <f t="shared" si="0"/>
        <v>3.3730898248229592E-2</v>
      </c>
    </row>
    <row r="7" spans="1:14" x14ac:dyDescent="0.3">
      <c r="A7" s="5">
        <v>36702</v>
      </c>
      <c r="B7" t="s">
        <v>26</v>
      </c>
      <c r="C7" s="7"/>
      <c r="D7" s="7"/>
      <c r="F7" s="5"/>
      <c r="H7" t="s">
        <v>45</v>
      </c>
      <c r="I7">
        <v>2506</v>
      </c>
      <c r="J7" s="21">
        <f t="shared" si="0"/>
        <v>0.23350726798360044</v>
      </c>
    </row>
    <row r="8" spans="1:14" x14ac:dyDescent="0.3">
      <c r="A8" s="5">
        <v>36703</v>
      </c>
      <c r="B8" t="s">
        <v>27</v>
      </c>
      <c r="C8" s="7">
        <v>11</v>
      </c>
      <c r="D8" s="7">
        <v>4490</v>
      </c>
      <c r="E8" s="20">
        <v>679586</v>
      </c>
      <c r="F8" s="5"/>
      <c r="I8">
        <f>SUM(I3:I7)</f>
        <v>10732</v>
      </c>
    </row>
    <row r="9" spans="1:14" x14ac:dyDescent="0.3">
      <c r="A9" s="5">
        <v>36704</v>
      </c>
      <c r="B9" t="s">
        <v>28</v>
      </c>
      <c r="C9" s="7"/>
      <c r="D9" s="7"/>
      <c r="F9" s="5"/>
    </row>
    <row r="10" spans="1:14" x14ac:dyDescent="0.3">
      <c r="A10" s="5">
        <v>37065</v>
      </c>
      <c r="B10" t="s">
        <v>24</v>
      </c>
      <c r="C10" s="7"/>
      <c r="D10" s="7"/>
      <c r="F10" s="5"/>
    </row>
    <row r="11" spans="1:14" x14ac:dyDescent="0.3">
      <c r="A11" s="5">
        <v>37066</v>
      </c>
      <c r="B11" t="s">
        <v>68</v>
      </c>
      <c r="C11" s="7"/>
      <c r="D11" s="7"/>
      <c r="F11" s="5"/>
    </row>
    <row r="12" spans="1:14" x14ac:dyDescent="0.3">
      <c r="A12" s="5">
        <v>37067</v>
      </c>
      <c r="B12" t="s">
        <v>25</v>
      </c>
      <c r="C12" s="7">
        <v>87</v>
      </c>
      <c r="D12" s="7">
        <v>399</v>
      </c>
      <c r="E12" s="20">
        <v>17931163558</v>
      </c>
      <c r="F12" s="5"/>
      <c r="H12" t="s">
        <v>49</v>
      </c>
      <c r="I12" t="s">
        <v>50</v>
      </c>
      <c r="J12" t="s">
        <v>47</v>
      </c>
      <c r="M12" t="s">
        <v>63</v>
      </c>
      <c r="N12" t="s">
        <v>47</v>
      </c>
    </row>
    <row r="13" spans="1:14" x14ac:dyDescent="0.3">
      <c r="A13" s="5">
        <v>37068</v>
      </c>
      <c r="B13" t="s">
        <v>26</v>
      </c>
      <c r="C13" s="7"/>
      <c r="D13" s="7"/>
      <c r="F13" s="5"/>
      <c r="H13" t="s">
        <v>48</v>
      </c>
      <c r="I13" t="s">
        <v>24</v>
      </c>
      <c r="J13">
        <v>274</v>
      </c>
      <c r="M13" t="s">
        <v>64</v>
      </c>
      <c r="N13">
        <f>SUM(J25:J42)</f>
        <v>1718</v>
      </c>
    </row>
    <row r="14" spans="1:14" x14ac:dyDescent="0.3">
      <c r="A14" s="5">
        <v>37069</v>
      </c>
      <c r="B14" t="s">
        <v>27</v>
      </c>
      <c r="C14" s="7">
        <v>31</v>
      </c>
      <c r="D14" s="7">
        <v>711</v>
      </c>
      <c r="E14" s="20">
        <v>6226365697</v>
      </c>
      <c r="F14" s="5"/>
      <c r="H14" t="s">
        <v>48</v>
      </c>
      <c r="I14" t="s">
        <v>68</v>
      </c>
      <c r="J14">
        <v>100</v>
      </c>
      <c r="M14" t="s">
        <v>65</v>
      </c>
      <c r="N14">
        <f>SUM(J43:J60)</f>
        <v>2048</v>
      </c>
    </row>
    <row r="15" spans="1:14" x14ac:dyDescent="0.3">
      <c r="A15" s="5">
        <v>37070</v>
      </c>
      <c r="B15" t="s">
        <v>28</v>
      </c>
      <c r="C15" s="7"/>
      <c r="D15" s="7"/>
      <c r="F15" s="5"/>
      <c r="H15" t="s">
        <v>48</v>
      </c>
      <c r="I15" t="s">
        <v>25</v>
      </c>
      <c r="J15">
        <v>117</v>
      </c>
      <c r="M15" t="s">
        <v>66</v>
      </c>
      <c r="N15">
        <f>SUM(J61:J78)</f>
        <v>3649</v>
      </c>
    </row>
    <row r="16" spans="1:14" x14ac:dyDescent="0.3">
      <c r="A16" s="5">
        <v>37431</v>
      </c>
      <c r="B16" t="s">
        <v>24</v>
      </c>
      <c r="C16" s="7"/>
      <c r="D16" s="7"/>
      <c r="F16" s="5"/>
      <c r="H16" t="s">
        <v>48</v>
      </c>
      <c r="I16" t="s">
        <v>26</v>
      </c>
      <c r="J16">
        <v>1</v>
      </c>
      <c r="M16" t="s">
        <v>67</v>
      </c>
      <c r="N16">
        <v>1548</v>
      </c>
    </row>
    <row r="17" spans="1:10" x14ac:dyDescent="0.3">
      <c r="A17" s="5">
        <v>37432</v>
      </c>
      <c r="B17" t="s">
        <v>68</v>
      </c>
      <c r="C17" s="7"/>
      <c r="D17" s="7"/>
      <c r="F17" s="5"/>
      <c r="H17" t="s">
        <v>48</v>
      </c>
      <c r="I17" t="s">
        <v>27</v>
      </c>
      <c r="J17">
        <v>39</v>
      </c>
    </row>
    <row r="18" spans="1:10" x14ac:dyDescent="0.3">
      <c r="A18" s="5">
        <v>37433</v>
      </c>
      <c r="B18" t="s">
        <v>25</v>
      </c>
      <c r="C18" s="7">
        <v>57</v>
      </c>
      <c r="D18" s="7">
        <v>452</v>
      </c>
      <c r="E18" s="20">
        <v>7438693043</v>
      </c>
      <c r="F18" s="5"/>
      <c r="H18" t="s">
        <v>48</v>
      </c>
      <c r="I18" t="s">
        <v>28</v>
      </c>
      <c r="J18">
        <v>57</v>
      </c>
    </row>
    <row r="19" spans="1:10" x14ac:dyDescent="0.3">
      <c r="A19" s="5">
        <v>37434</v>
      </c>
      <c r="B19" t="s">
        <v>26</v>
      </c>
      <c r="C19" s="7"/>
      <c r="D19" s="7"/>
      <c r="F19" s="5"/>
      <c r="H19" t="s">
        <v>51</v>
      </c>
      <c r="I19" t="s">
        <v>24</v>
      </c>
      <c r="J19">
        <v>167</v>
      </c>
    </row>
    <row r="20" spans="1:10" x14ac:dyDescent="0.3">
      <c r="A20" s="5">
        <v>37435</v>
      </c>
      <c r="B20" t="s">
        <v>27</v>
      </c>
      <c r="C20" s="7">
        <v>15</v>
      </c>
      <c r="D20" s="7">
        <v>198</v>
      </c>
      <c r="E20" s="20">
        <v>4760042872</v>
      </c>
      <c r="F20" s="5"/>
      <c r="H20" t="s">
        <v>51</v>
      </c>
      <c r="I20" t="s">
        <v>68</v>
      </c>
      <c r="J20">
        <v>45</v>
      </c>
    </row>
    <row r="21" spans="1:10" x14ac:dyDescent="0.3">
      <c r="A21" s="5">
        <v>37436</v>
      </c>
      <c r="B21" t="s">
        <v>28</v>
      </c>
      <c r="C21" s="7"/>
      <c r="D21" s="7"/>
      <c r="F21" s="5"/>
      <c r="H21" t="s">
        <v>51</v>
      </c>
      <c r="I21" t="s">
        <v>25</v>
      </c>
      <c r="J21">
        <v>81</v>
      </c>
    </row>
    <row r="22" spans="1:10" x14ac:dyDescent="0.3">
      <c r="A22" s="5">
        <v>37797</v>
      </c>
      <c r="B22" t="s">
        <v>24</v>
      </c>
      <c r="C22" s="7"/>
      <c r="D22" s="7"/>
      <c r="F22" s="5"/>
      <c r="H22" t="s">
        <v>51</v>
      </c>
      <c r="I22" t="s">
        <v>26</v>
      </c>
      <c r="J22">
        <v>1</v>
      </c>
    </row>
    <row r="23" spans="1:10" x14ac:dyDescent="0.3">
      <c r="A23" s="5">
        <v>37798</v>
      </c>
      <c r="B23" t="s">
        <v>68</v>
      </c>
      <c r="C23" s="7">
        <v>9</v>
      </c>
      <c r="D23" s="7"/>
      <c r="E23" s="20">
        <v>2832002888</v>
      </c>
      <c r="F23" s="5"/>
      <c r="H23" t="s">
        <v>51</v>
      </c>
      <c r="I23" t="s">
        <v>27</v>
      </c>
      <c r="J23">
        <v>48</v>
      </c>
    </row>
    <row r="24" spans="1:10" x14ac:dyDescent="0.3">
      <c r="A24" s="5">
        <v>37799</v>
      </c>
      <c r="B24" t="s">
        <v>25</v>
      </c>
      <c r="C24" s="7">
        <v>44</v>
      </c>
      <c r="D24" s="7">
        <v>583</v>
      </c>
      <c r="E24" s="20">
        <v>8661066938</v>
      </c>
      <c r="F24" s="5"/>
      <c r="H24" t="s">
        <v>51</v>
      </c>
      <c r="I24" t="s">
        <v>28</v>
      </c>
      <c r="J24">
        <v>43</v>
      </c>
    </row>
    <row r="25" spans="1:10" x14ac:dyDescent="0.3">
      <c r="A25" s="5">
        <v>37800</v>
      </c>
      <c r="B25" t="s">
        <v>26</v>
      </c>
      <c r="C25" s="7"/>
      <c r="D25" s="7"/>
      <c r="F25" s="5"/>
      <c r="H25" t="s">
        <v>52</v>
      </c>
      <c r="I25" t="s">
        <v>24</v>
      </c>
      <c r="J25">
        <v>202</v>
      </c>
    </row>
    <row r="26" spans="1:10" x14ac:dyDescent="0.3">
      <c r="A26" s="5">
        <v>37801</v>
      </c>
      <c r="B26" t="s">
        <v>27</v>
      </c>
      <c r="C26" s="7">
        <v>7</v>
      </c>
      <c r="D26" s="7">
        <v>1414</v>
      </c>
      <c r="E26" s="20">
        <v>4758393208</v>
      </c>
      <c r="F26" s="5"/>
      <c r="H26" t="s">
        <v>52</v>
      </c>
      <c r="I26" t="s">
        <v>68</v>
      </c>
      <c r="J26">
        <v>30</v>
      </c>
    </row>
    <row r="27" spans="1:10" x14ac:dyDescent="0.3">
      <c r="A27" s="5">
        <v>37802</v>
      </c>
      <c r="B27" t="s">
        <v>28</v>
      </c>
      <c r="C27" s="7">
        <v>1</v>
      </c>
      <c r="D27" s="7"/>
      <c r="F27" s="5"/>
      <c r="H27" t="s">
        <v>52</v>
      </c>
      <c r="I27" t="s">
        <v>25</v>
      </c>
      <c r="J27">
        <v>82</v>
      </c>
    </row>
    <row r="28" spans="1:10" x14ac:dyDescent="0.3">
      <c r="A28" s="5">
        <v>38164</v>
      </c>
      <c r="B28" t="s">
        <v>24</v>
      </c>
      <c r="C28" s="7">
        <v>5</v>
      </c>
      <c r="D28" s="7">
        <v>1780</v>
      </c>
      <c r="F28" s="5"/>
      <c r="H28" t="s">
        <v>52</v>
      </c>
      <c r="I28" t="s">
        <v>26</v>
      </c>
      <c r="J28">
        <v>1</v>
      </c>
    </row>
    <row r="29" spans="1:10" x14ac:dyDescent="0.3">
      <c r="A29" s="5">
        <v>38165</v>
      </c>
      <c r="B29" t="s">
        <v>68</v>
      </c>
      <c r="C29" s="7">
        <v>31</v>
      </c>
      <c r="D29" s="7">
        <v>1267</v>
      </c>
      <c r="E29" s="20">
        <v>6773938390</v>
      </c>
      <c r="F29" s="5"/>
      <c r="H29" t="s">
        <v>52</v>
      </c>
      <c r="I29" t="s">
        <v>27</v>
      </c>
      <c r="J29">
        <v>46</v>
      </c>
    </row>
    <row r="30" spans="1:10" x14ac:dyDescent="0.3">
      <c r="A30" s="5">
        <v>38166</v>
      </c>
      <c r="B30" t="s">
        <v>25</v>
      </c>
      <c r="C30" s="7">
        <v>59</v>
      </c>
      <c r="D30" s="7">
        <v>559</v>
      </c>
      <c r="E30" s="20">
        <v>4633184667</v>
      </c>
      <c r="F30" s="5"/>
      <c r="H30" t="s">
        <v>52</v>
      </c>
      <c r="I30" t="s">
        <v>28</v>
      </c>
      <c r="J30">
        <v>152</v>
      </c>
    </row>
    <row r="31" spans="1:10" x14ac:dyDescent="0.3">
      <c r="A31" s="5">
        <v>38167</v>
      </c>
      <c r="B31" t="s">
        <v>26</v>
      </c>
      <c r="C31" s="7">
        <v>1</v>
      </c>
      <c r="D31" s="7"/>
      <c r="E31" s="20">
        <v>2108333333</v>
      </c>
      <c r="F31" s="5"/>
      <c r="H31" t="s">
        <v>53</v>
      </c>
      <c r="I31" t="s">
        <v>24</v>
      </c>
      <c r="J31">
        <v>133</v>
      </c>
    </row>
    <row r="32" spans="1:10" x14ac:dyDescent="0.3">
      <c r="A32" s="5">
        <v>38168</v>
      </c>
      <c r="B32" t="s">
        <v>27</v>
      </c>
      <c r="C32" s="7">
        <v>23</v>
      </c>
      <c r="D32" s="7">
        <v>684</v>
      </c>
      <c r="E32" s="20">
        <v>573194415</v>
      </c>
      <c r="F32" s="5"/>
      <c r="H32" t="s">
        <v>53</v>
      </c>
      <c r="I32" t="s">
        <v>68</v>
      </c>
      <c r="J32">
        <v>42</v>
      </c>
    </row>
    <row r="33" spans="1:10" x14ac:dyDescent="0.3">
      <c r="A33" s="5">
        <v>38169</v>
      </c>
      <c r="B33" t="s">
        <v>28</v>
      </c>
      <c r="C33" s="7">
        <v>4</v>
      </c>
      <c r="D33" s="7">
        <v>15</v>
      </c>
      <c r="E33" s="20">
        <v>3117700125</v>
      </c>
      <c r="F33" s="5"/>
      <c r="H33" t="s">
        <v>53</v>
      </c>
      <c r="I33" t="s">
        <v>25</v>
      </c>
      <c r="J33">
        <v>89</v>
      </c>
    </row>
    <row r="34" spans="1:10" x14ac:dyDescent="0.3">
      <c r="A34" s="5">
        <v>38530</v>
      </c>
      <c r="B34" t="s">
        <v>24</v>
      </c>
      <c r="C34" s="7">
        <v>47</v>
      </c>
      <c r="D34" s="7">
        <v>823</v>
      </c>
      <c r="E34" s="20">
        <v>4228576645</v>
      </c>
      <c r="F34" s="5"/>
      <c r="H34" t="s">
        <v>53</v>
      </c>
      <c r="I34" t="s">
        <v>26</v>
      </c>
    </row>
    <row r="35" spans="1:10" x14ac:dyDescent="0.3">
      <c r="A35" s="5">
        <v>38531</v>
      </c>
      <c r="B35" t="s">
        <v>68</v>
      </c>
      <c r="C35" s="7">
        <v>32</v>
      </c>
      <c r="D35" s="7">
        <v>2946</v>
      </c>
      <c r="E35" s="20">
        <v>3507845217</v>
      </c>
      <c r="F35" s="5"/>
      <c r="H35" t="s">
        <v>53</v>
      </c>
      <c r="I35" t="s">
        <v>27</v>
      </c>
      <c r="J35">
        <v>42</v>
      </c>
    </row>
    <row r="36" spans="1:10" x14ac:dyDescent="0.3">
      <c r="A36" s="5">
        <v>38532</v>
      </c>
      <c r="B36" t="s">
        <v>25</v>
      </c>
      <c r="C36" s="7">
        <v>194</v>
      </c>
      <c r="D36" s="7">
        <v>913</v>
      </c>
      <c r="E36" s="20">
        <v>5414903364</v>
      </c>
      <c r="F36" s="5"/>
      <c r="H36" t="s">
        <v>53</v>
      </c>
      <c r="I36" t="s">
        <v>28</v>
      </c>
      <c r="J36">
        <v>191</v>
      </c>
    </row>
    <row r="37" spans="1:10" x14ac:dyDescent="0.3">
      <c r="A37" s="5">
        <v>38533</v>
      </c>
      <c r="B37" t="s">
        <v>26</v>
      </c>
      <c r="C37" s="7">
        <v>2</v>
      </c>
      <c r="D37" s="7">
        <v>9629</v>
      </c>
      <c r="E37" s="20">
        <v>9750000000</v>
      </c>
      <c r="F37" s="5"/>
      <c r="H37" t="s">
        <v>54</v>
      </c>
      <c r="I37" t="s">
        <v>24</v>
      </c>
      <c r="J37">
        <v>362</v>
      </c>
    </row>
    <row r="38" spans="1:10" x14ac:dyDescent="0.3">
      <c r="A38" s="5">
        <v>38534</v>
      </c>
      <c r="B38" t="s">
        <v>27</v>
      </c>
      <c r="C38" s="7">
        <v>7</v>
      </c>
      <c r="D38" s="7">
        <v>182</v>
      </c>
      <c r="E38" s="20">
        <v>1680538409</v>
      </c>
      <c r="F38" s="5"/>
      <c r="H38" t="s">
        <v>54</v>
      </c>
      <c r="I38" t="s">
        <v>68</v>
      </c>
      <c r="J38">
        <v>69</v>
      </c>
    </row>
    <row r="39" spans="1:10" x14ac:dyDescent="0.3">
      <c r="A39" s="5">
        <v>38535</v>
      </c>
      <c r="B39" t="s">
        <v>28</v>
      </c>
      <c r="C39" s="7">
        <v>18</v>
      </c>
      <c r="D39" s="7">
        <v>828</v>
      </c>
      <c r="E39" s="20">
        <v>6779708461</v>
      </c>
      <c r="F39" s="5"/>
      <c r="H39" t="s">
        <v>54</v>
      </c>
      <c r="I39" t="s">
        <v>25</v>
      </c>
      <c r="J39">
        <v>84</v>
      </c>
    </row>
    <row r="40" spans="1:10" x14ac:dyDescent="0.3">
      <c r="A40" s="5">
        <v>38895</v>
      </c>
      <c r="B40" t="s">
        <v>24</v>
      </c>
      <c r="C40" s="7">
        <v>17</v>
      </c>
      <c r="D40" s="7">
        <v>1258</v>
      </c>
      <c r="E40" s="20">
        <v>3666766666</v>
      </c>
      <c r="F40" s="5"/>
      <c r="H40" t="s">
        <v>54</v>
      </c>
      <c r="I40" t="s">
        <v>26</v>
      </c>
      <c r="J40">
        <v>5</v>
      </c>
    </row>
    <row r="41" spans="1:10" x14ac:dyDescent="0.3">
      <c r="A41" s="5">
        <v>38896</v>
      </c>
      <c r="B41" t="s">
        <v>68</v>
      </c>
      <c r="C41" s="7">
        <v>37</v>
      </c>
      <c r="D41" s="7">
        <v>1855</v>
      </c>
      <c r="E41" s="20">
        <v>3713471892</v>
      </c>
      <c r="F41" s="5"/>
      <c r="H41" t="s">
        <v>54</v>
      </c>
      <c r="I41" t="s">
        <v>27</v>
      </c>
      <c r="J41">
        <v>82</v>
      </c>
    </row>
    <row r="42" spans="1:10" x14ac:dyDescent="0.3">
      <c r="A42" s="5">
        <v>38897</v>
      </c>
      <c r="B42" t="s">
        <v>25</v>
      </c>
      <c r="C42" s="7">
        <v>27</v>
      </c>
      <c r="D42" s="7">
        <v>580</v>
      </c>
      <c r="E42" s="20">
        <v>3673384216</v>
      </c>
      <c r="F42" s="5"/>
      <c r="H42" t="s">
        <v>54</v>
      </c>
      <c r="I42" t="s">
        <v>28</v>
      </c>
      <c r="J42">
        <v>106</v>
      </c>
    </row>
    <row r="43" spans="1:10" x14ac:dyDescent="0.3">
      <c r="A43" s="5">
        <v>38898</v>
      </c>
      <c r="B43" t="s">
        <v>26</v>
      </c>
      <c r="C43" s="7">
        <v>4</v>
      </c>
      <c r="D43" s="7">
        <v>1158</v>
      </c>
      <c r="E43" s="20">
        <v>1750</v>
      </c>
      <c r="F43" s="5"/>
      <c r="H43" t="s">
        <v>55</v>
      </c>
      <c r="I43" t="s">
        <v>24</v>
      </c>
      <c r="J43">
        <v>143</v>
      </c>
    </row>
    <row r="44" spans="1:10" x14ac:dyDescent="0.3">
      <c r="A44" s="5">
        <v>38899</v>
      </c>
      <c r="B44" t="s">
        <v>27</v>
      </c>
      <c r="C44" s="7">
        <v>8</v>
      </c>
      <c r="D44" s="7">
        <v>82</v>
      </c>
      <c r="E44" s="20">
        <v>268086766</v>
      </c>
      <c r="F44" s="5"/>
      <c r="H44" t="s">
        <v>55</v>
      </c>
      <c r="I44" t="s">
        <v>68</v>
      </c>
      <c r="J44">
        <v>202</v>
      </c>
    </row>
    <row r="45" spans="1:10" x14ac:dyDescent="0.3">
      <c r="A45" s="5">
        <v>38900</v>
      </c>
      <c r="B45" t="s">
        <v>28</v>
      </c>
      <c r="C45" s="7">
        <v>38</v>
      </c>
      <c r="D45" s="7">
        <v>2519</v>
      </c>
      <c r="E45" s="20">
        <v>2380922134</v>
      </c>
      <c r="F45" s="5"/>
      <c r="H45" t="s">
        <v>55</v>
      </c>
      <c r="I45" t="s">
        <v>25</v>
      </c>
      <c r="J45">
        <v>93</v>
      </c>
    </row>
    <row r="46" spans="1:10" x14ac:dyDescent="0.3">
      <c r="A46" s="5">
        <v>39260</v>
      </c>
      <c r="B46" t="s">
        <v>24</v>
      </c>
      <c r="C46" s="7">
        <v>6</v>
      </c>
      <c r="D46" s="7">
        <v>1491</v>
      </c>
      <c r="E46" s="20">
        <v>44014220</v>
      </c>
      <c r="F46" s="5"/>
      <c r="H46" t="s">
        <v>55</v>
      </c>
      <c r="I46" t="s">
        <v>26</v>
      </c>
      <c r="J46">
        <v>2</v>
      </c>
    </row>
    <row r="47" spans="1:10" x14ac:dyDescent="0.3">
      <c r="A47" s="5">
        <v>39261</v>
      </c>
      <c r="B47" t="s">
        <v>68</v>
      </c>
      <c r="C47" s="7"/>
      <c r="D47" s="7"/>
      <c r="F47" s="5"/>
      <c r="H47" t="s">
        <v>55</v>
      </c>
      <c r="I47" t="s">
        <v>27</v>
      </c>
      <c r="J47">
        <v>49</v>
      </c>
    </row>
    <row r="48" spans="1:10" x14ac:dyDescent="0.3">
      <c r="A48" s="5">
        <v>39262</v>
      </c>
      <c r="B48" t="s">
        <v>25</v>
      </c>
      <c r="C48" s="7">
        <v>85</v>
      </c>
      <c r="D48" s="7">
        <v>1512</v>
      </c>
      <c r="E48" s="20">
        <v>2397273349</v>
      </c>
      <c r="F48" s="5"/>
      <c r="H48" t="s">
        <v>55</v>
      </c>
      <c r="I48" t="s">
        <v>28</v>
      </c>
      <c r="J48">
        <v>36</v>
      </c>
    </row>
    <row r="49" spans="1:10" x14ac:dyDescent="0.3">
      <c r="A49" s="5">
        <v>39263</v>
      </c>
      <c r="B49" t="s">
        <v>26</v>
      </c>
      <c r="C49" s="7"/>
      <c r="D49" s="7"/>
      <c r="F49" s="5"/>
      <c r="H49" t="s">
        <v>56</v>
      </c>
      <c r="I49" t="s">
        <v>24</v>
      </c>
      <c r="J49">
        <v>113</v>
      </c>
    </row>
    <row r="50" spans="1:10" x14ac:dyDescent="0.3">
      <c r="A50" s="5">
        <v>39264</v>
      </c>
      <c r="B50" t="s">
        <v>27</v>
      </c>
      <c r="C50" s="7">
        <v>13</v>
      </c>
      <c r="D50" s="7">
        <v>440</v>
      </c>
      <c r="E50" s="20">
        <v>25786856</v>
      </c>
      <c r="F50" s="5"/>
      <c r="H50" t="s">
        <v>56</v>
      </c>
      <c r="I50" t="s">
        <v>68</v>
      </c>
      <c r="J50">
        <v>62</v>
      </c>
    </row>
    <row r="51" spans="1:10" x14ac:dyDescent="0.3">
      <c r="A51" s="5">
        <v>39265</v>
      </c>
      <c r="B51" t="s">
        <v>28</v>
      </c>
      <c r="C51" s="7">
        <v>4</v>
      </c>
      <c r="D51" s="7">
        <v>70</v>
      </c>
      <c r="E51" s="20">
        <v>114343483</v>
      </c>
      <c r="F51" s="5"/>
      <c r="H51" t="s">
        <v>56</v>
      </c>
      <c r="I51" t="s">
        <v>25</v>
      </c>
      <c r="J51">
        <v>104</v>
      </c>
    </row>
    <row r="52" spans="1:10" x14ac:dyDescent="0.3">
      <c r="A52" s="5">
        <v>39626</v>
      </c>
      <c r="B52" t="s">
        <v>24</v>
      </c>
      <c r="C52" s="7">
        <v>321</v>
      </c>
      <c r="D52" s="7">
        <v>2867</v>
      </c>
      <c r="E52" s="20">
        <v>1604982178</v>
      </c>
      <c r="F52" s="5"/>
      <c r="H52" t="s">
        <v>56</v>
      </c>
      <c r="I52" t="s">
        <v>26</v>
      </c>
    </row>
    <row r="53" spans="1:10" x14ac:dyDescent="0.3">
      <c r="A53" s="5">
        <v>39627</v>
      </c>
      <c r="B53" t="s">
        <v>68</v>
      </c>
      <c r="C53" s="7"/>
      <c r="D53" s="7"/>
      <c r="F53" s="5"/>
      <c r="H53" t="s">
        <v>56</v>
      </c>
      <c r="I53" t="s">
        <v>27</v>
      </c>
      <c r="J53">
        <v>148</v>
      </c>
    </row>
    <row r="54" spans="1:10" x14ac:dyDescent="0.3">
      <c r="A54" s="5">
        <v>39628</v>
      </c>
      <c r="B54" t="s">
        <v>25</v>
      </c>
      <c r="C54" s="7">
        <v>117</v>
      </c>
      <c r="D54" s="7">
        <v>1048</v>
      </c>
      <c r="E54" s="20">
        <v>6180142771</v>
      </c>
      <c r="F54" s="5"/>
      <c r="H54" t="s">
        <v>56</v>
      </c>
      <c r="I54" t="s">
        <v>28</v>
      </c>
      <c r="J54">
        <v>56</v>
      </c>
    </row>
    <row r="55" spans="1:10" x14ac:dyDescent="0.3">
      <c r="A55" s="5">
        <v>39629</v>
      </c>
      <c r="B55" t="s">
        <v>26</v>
      </c>
      <c r="C55" s="7"/>
      <c r="D55" s="7"/>
      <c r="F55" s="5"/>
      <c r="H55" t="s">
        <v>57</v>
      </c>
      <c r="I55" t="s">
        <v>24</v>
      </c>
      <c r="J55">
        <v>195</v>
      </c>
    </row>
    <row r="56" spans="1:10" x14ac:dyDescent="0.3">
      <c r="A56" s="5">
        <v>39630</v>
      </c>
      <c r="B56" t="s">
        <v>27</v>
      </c>
      <c r="C56" s="7">
        <v>73</v>
      </c>
      <c r="D56" s="7">
        <v>1741</v>
      </c>
      <c r="E56" s="20">
        <v>4379476748</v>
      </c>
      <c r="F56" s="5"/>
      <c r="H56" t="s">
        <v>57</v>
      </c>
      <c r="I56" t="s">
        <v>68</v>
      </c>
      <c r="J56">
        <v>173</v>
      </c>
    </row>
    <row r="57" spans="1:10" x14ac:dyDescent="0.3">
      <c r="A57" s="5">
        <v>39631</v>
      </c>
      <c r="B57" t="s">
        <v>28</v>
      </c>
      <c r="C57" s="7"/>
      <c r="D57" s="7"/>
      <c r="F57" s="5"/>
      <c r="H57" t="s">
        <v>57</v>
      </c>
      <c r="I57" t="s">
        <v>25</v>
      </c>
      <c r="J57">
        <v>364</v>
      </c>
    </row>
    <row r="58" spans="1:10" x14ac:dyDescent="0.3">
      <c r="A58" s="5">
        <v>39991</v>
      </c>
      <c r="B58" t="s">
        <v>24</v>
      </c>
      <c r="C58" s="7">
        <v>78</v>
      </c>
      <c r="D58" s="7">
        <v>1974</v>
      </c>
      <c r="E58" s="20">
        <v>5450928523</v>
      </c>
      <c r="F58" s="5"/>
      <c r="H58" t="s">
        <v>57</v>
      </c>
      <c r="I58" t="s">
        <v>26</v>
      </c>
      <c r="J58">
        <v>2</v>
      </c>
    </row>
    <row r="59" spans="1:10" x14ac:dyDescent="0.3">
      <c r="A59" s="5">
        <v>39992</v>
      </c>
      <c r="B59" t="s">
        <v>68</v>
      </c>
      <c r="C59" s="7"/>
      <c r="D59" s="7"/>
      <c r="F59" s="5"/>
      <c r="H59" t="s">
        <v>57</v>
      </c>
      <c r="I59" t="s">
        <v>27</v>
      </c>
      <c r="J59">
        <v>195</v>
      </c>
    </row>
    <row r="60" spans="1:10" x14ac:dyDescent="0.3">
      <c r="A60" s="5">
        <v>39993</v>
      </c>
      <c r="B60" t="s">
        <v>25</v>
      </c>
      <c r="C60" s="7">
        <v>57</v>
      </c>
      <c r="D60" s="7">
        <v>869</v>
      </c>
      <c r="E60" s="20">
        <v>820547320</v>
      </c>
      <c r="F60" s="5"/>
      <c r="H60" t="s">
        <v>57</v>
      </c>
      <c r="I60" t="s">
        <v>28</v>
      </c>
      <c r="J60">
        <v>111</v>
      </c>
    </row>
    <row r="61" spans="1:10" x14ac:dyDescent="0.3">
      <c r="A61" s="5">
        <v>39994</v>
      </c>
      <c r="B61" t="s">
        <v>26</v>
      </c>
      <c r="C61" s="7">
        <v>2</v>
      </c>
      <c r="D61" s="7">
        <v>39</v>
      </c>
      <c r="E61" s="20">
        <v>112475031</v>
      </c>
      <c r="F61" s="5"/>
      <c r="H61" t="s">
        <v>58</v>
      </c>
      <c r="I61" t="s">
        <v>24</v>
      </c>
      <c r="J61">
        <v>387</v>
      </c>
    </row>
    <row r="62" spans="1:10" x14ac:dyDescent="0.3">
      <c r="A62" s="5">
        <v>39995</v>
      </c>
      <c r="B62" t="s">
        <v>27</v>
      </c>
      <c r="C62" s="7">
        <v>95</v>
      </c>
      <c r="D62" s="7">
        <v>1153</v>
      </c>
      <c r="E62" s="20">
        <v>1452988638</v>
      </c>
      <c r="F62" s="5"/>
      <c r="H62" t="s">
        <v>58</v>
      </c>
      <c r="I62" t="s">
        <v>68</v>
      </c>
      <c r="J62">
        <v>77</v>
      </c>
    </row>
    <row r="63" spans="1:10" x14ac:dyDescent="0.3">
      <c r="A63" s="5">
        <v>39996</v>
      </c>
      <c r="B63" t="s">
        <v>28</v>
      </c>
      <c r="C63" s="7"/>
      <c r="D63" s="7"/>
      <c r="F63" s="5"/>
      <c r="H63" t="s">
        <v>58</v>
      </c>
      <c r="I63" t="s">
        <v>25</v>
      </c>
      <c r="J63">
        <v>782</v>
      </c>
    </row>
    <row r="64" spans="1:10" x14ac:dyDescent="0.3">
      <c r="A64" s="5">
        <v>40356</v>
      </c>
      <c r="B64" t="s">
        <v>24</v>
      </c>
      <c r="C64" s="7">
        <v>213</v>
      </c>
      <c r="D64" s="7">
        <v>1426</v>
      </c>
      <c r="E64" s="20">
        <v>3953678860</v>
      </c>
      <c r="F64" s="5"/>
      <c r="H64" t="s">
        <v>58</v>
      </c>
      <c r="I64" t="s">
        <v>26</v>
      </c>
      <c r="J64">
        <v>1</v>
      </c>
    </row>
    <row r="65" spans="1:10" x14ac:dyDescent="0.3">
      <c r="A65" s="5">
        <v>40357</v>
      </c>
      <c r="B65" t="s">
        <v>68</v>
      </c>
      <c r="C65" s="7">
        <v>161</v>
      </c>
      <c r="D65" s="7">
        <v>1275</v>
      </c>
      <c r="E65" s="20">
        <v>2941936701</v>
      </c>
      <c r="F65" s="5"/>
      <c r="H65" t="s">
        <v>58</v>
      </c>
      <c r="I65" t="s">
        <v>27</v>
      </c>
      <c r="J65">
        <v>195</v>
      </c>
    </row>
    <row r="66" spans="1:10" x14ac:dyDescent="0.3">
      <c r="A66" s="5">
        <v>40358</v>
      </c>
      <c r="B66" t="s">
        <v>25</v>
      </c>
      <c r="C66" s="7">
        <v>166</v>
      </c>
      <c r="D66" s="7">
        <v>1133</v>
      </c>
      <c r="E66" s="20">
        <v>3288823279</v>
      </c>
      <c r="F66" s="5"/>
      <c r="H66" t="s">
        <v>58</v>
      </c>
      <c r="I66" t="s">
        <v>28</v>
      </c>
      <c r="J66">
        <v>111</v>
      </c>
    </row>
    <row r="67" spans="1:10" x14ac:dyDescent="0.3">
      <c r="A67" s="5">
        <v>40359</v>
      </c>
      <c r="B67" t="s">
        <v>26</v>
      </c>
      <c r="C67" s="7">
        <v>2</v>
      </c>
      <c r="D67" s="7">
        <v>30</v>
      </c>
      <c r="E67" s="20">
        <v>190000</v>
      </c>
      <c r="F67" s="5"/>
      <c r="H67" t="s">
        <v>59</v>
      </c>
      <c r="I67" t="s">
        <v>24</v>
      </c>
      <c r="J67">
        <v>337</v>
      </c>
    </row>
    <row r="68" spans="1:10" x14ac:dyDescent="0.3">
      <c r="A68" s="5">
        <v>40360</v>
      </c>
      <c r="B68" t="s">
        <v>27</v>
      </c>
      <c r="C68" s="7">
        <v>70</v>
      </c>
      <c r="D68" s="7">
        <v>1603</v>
      </c>
      <c r="E68" s="20">
        <v>1757612996</v>
      </c>
      <c r="F68" s="5"/>
      <c r="H68" t="s">
        <v>59</v>
      </c>
      <c r="I68" t="s">
        <v>68</v>
      </c>
      <c r="J68">
        <v>125</v>
      </c>
    </row>
    <row r="69" spans="1:10" x14ac:dyDescent="0.3">
      <c r="A69" s="5">
        <v>40361</v>
      </c>
      <c r="B69" t="s">
        <v>28</v>
      </c>
      <c r="C69" s="7">
        <v>38</v>
      </c>
      <c r="D69" s="7">
        <v>60</v>
      </c>
      <c r="E69" s="20">
        <v>11614426409</v>
      </c>
      <c r="F69" s="5"/>
      <c r="H69" t="s">
        <v>59</v>
      </c>
      <c r="I69" t="s">
        <v>25</v>
      </c>
      <c r="J69">
        <v>423</v>
      </c>
    </row>
    <row r="70" spans="1:10" x14ac:dyDescent="0.3">
      <c r="A70" s="5">
        <v>40721</v>
      </c>
      <c r="B70" t="s">
        <v>24</v>
      </c>
      <c r="C70" s="7"/>
      <c r="D70" s="7">
        <v>1081</v>
      </c>
      <c r="E70" s="20">
        <v>2837255128</v>
      </c>
      <c r="F70" s="5"/>
      <c r="H70" t="s">
        <v>59</v>
      </c>
      <c r="I70" t="s">
        <v>26</v>
      </c>
      <c r="J70">
        <v>2</v>
      </c>
    </row>
    <row r="71" spans="1:10" x14ac:dyDescent="0.3">
      <c r="A71" s="5">
        <v>40722</v>
      </c>
      <c r="B71" t="s">
        <v>68</v>
      </c>
      <c r="C71" s="7">
        <v>316</v>
      </c>
      <c r="D71" s="7">
        <v>1241</v>
      </c>
      <c r="E71" s="20">
        <v>4542536803</v>
      </c>
      <c r="F71" s="5"/>
      <c r="H71" t="s">
        <v>59</v>
      </c>
      <c r="I71" t="s">
        <v>27</v>
      </c>
      <c r="J71">
        <v>215</v>
      </c>
    </row>
    <row r="72" spans="1:10" x14ac:dyDescent="0.3">
      <c r="A72" s="5">
        <v>40723</v>
      </c>
      <c r="B72" t="s">
        <v>25</v>
      </c>
      <c r="C72" s="7">
        <v>155</v>
      </c>
      <c r="D72" s="7">
        <v>1313</v>
      </c>
      <c r="E72" s="20">
        <v>5019650566</v>
      </c>
      <c r="F72" s="5"/>
      <c r="H72" t="s">
        <v>59</v>
      </c>
      <c r="I72" t="s">
        <v>28</v>
      </c>
      <c r="J72">
        <v>104</v>
      </c>
    </row>
    <row r="73" spans="1:10" x14ac:dyDescent="0.3">
      <c r="A73" s="5">
        <v>40724</v>
      </c>
      <c r="B73" t="s">
        <v>26</v>
      </c>
      <c r="C73" s="7">
        <v>2</v>
      </c>
      <c r="D73" s="7">
        <v>316</v>
      </c>
      <c r="E73" s="20">
        <v>124444600</v>
      </c>
      <c r="F73" s="5"/>
      <c r="H73" t="s">
        <v>60</v>
      </c>
      <c r="I73" t="s">
        <v>24</v>
      </c>
      <c r="J73">
        <v>185</v>
      </c>
    </row>
    <row r="74" spans="1:10" x14ac:dyDescent="0.3">
      <c r="A74" s="5">
        <v>40725</v>
      </c>
      <c r="B74" t="s">
        <v>27</v>
      </c>
      <c r="C74" s="7">
        <v>125</v>
      </c>
      <c r="D74" s="7">
        <v>1454</v>
      </c>
      <c r="E74" s="20">
        <v>2499108957</v>
      </c>
      <c r="F74" s="5"/>
      <c r="H74" t="s">
        <v>60</v>
      </c>
      <c r="I74" t="s">
        <v>68</v>
      </c>
      <c r="J74">
        <v>85</v>
      </c>
    </row>
    <row r="75" spans="1:10" x14ac:dyDescent="0.3">
      <c r="A75" s="5">
        <v>40726</v>
      </c>
      <c r="B75" t="s">
        <v>28</v>
      </c>
      <c r="C75" s="7">
        <v>319</v>
      </c>
      <c r="D75" s="7">
        <v>1821</v>
      </c>
      <c r="E75" s="20">
        <v>2845060930</v>
      </c>
      <c r="F75" s="5"/>
      <c r="H75" t="s">
        <v>60</v>
      </c>
      <c r="I75" t="s">
        <v>25</v>
      </c>
      <c r="J75">
        <v>246</v>
      </c>
    </row>
    <row r="76" spans="1:10" x14ac:dyDescent="0.3">
      <c r="A76" s="5">
        <v>41087</v>
      </c>
      <c r="B76" t="s">
        <v>24</v>
      </c>
      <c r="C76" s="7">
        <v>203</v>
      </c>
      <c r="D76" s="7">
        <v>911</v>
      </c>
      <c r="E76" s="20">
        <v>2846486128</v>
      </c>
      <c r="F76" s="5"/>
      <c r="H76" t="s">
        <v>60</v>
      </c>
      <c r="I76" t="s">
        <v>26</v>
      </c>
      <c r="J76">
        <v>3</v>
      </c>
    </row>
    <row r="77" spans="1:10" x14ac:dyDescent="0.3">
      <c r="A77" s="5">
        <v>41088</v>
      </c>
      <c r="B77" t="s">
        <v>68</v>
      </c>
      <c r="C77" s="7">
        <v>68</v>
      </c>
      <c r="D77" s="7">
        <v>1505</v>
      </c>
      <c r="E77" s="20">
        <v>3813933139</v>
      </c>
      <c r="F77" s="5"/>
      <c r="H77" t="s">
        <v>60</v>
      </c>
      <c r="I77" t="s">
        <v>27</v>
      </c>
      <c r="J77">
        <v>308</v>
      </c>
    </row>
    <row r="78" spans="1:10" x14ac:dyDescent="0.3">
      <c r="A78" s="5">
        <v>41089</v>
      </c>
      <c r="B78" t="s">
        <v>25</v>
      </c>
      <c r="C78" s="7">
        <v>326</v>
      </c>
      <c r="D78" s="7">
        <v>1073</v>
      </c>
      <c r="E78" s="20">
        <v>6528706869</v>
      </c>
      <c r="F78" s="5"/>
      <c r="H78" t="s">
        <v>60</v>
      </c>
      <c r="I78" t="s">
        <v>28</v>
      </c>
      <c r="J78">
        <v>63</v>
      </c>
    </row>
    <row r="79" spans="1:10" x14ac:dyDescent="0.3">
      <c r="A79" s="5">
        <v>41090</v>
      </c>
      <c r="B79" t="s">
        <v>26</v>
      </c>
      <c r="C79" s="7">
        <v>1</v>
      </c>
      <c r="D79" s="7">
        <v>24</v>
      </c>
      <c r="E79" s="20">
        <v>57500000</v>
      </c>
      <c r="F79" s="5"/>
      <c r="H79" t="s">
        <v>61</v>
      </c>
      <c r="I79" t="s">
        <v>24</v>
      </c>
      <c r="J79">
        <v>153</v>
      </c>
    </row>
    <row r="80" spans="1:10" x14ac:dyDescent="0.3">
      <c r="A80" s="5">
        <v>41091</v>
      </c>
      <c r="B80" t="s">
        <v>27</v>
      </c>
      <c r="C80" s="7">
        <v>137</v>
      </c>
      <c r="D80" s="7">
        <v>1086</v>
      </c>
      <c r="E80" s="20">
        <v>2715239872</v>
      </c>
      <c r="F80" s="5"/>
      <c r="H80" t="s">
        <v>61</v>
      </c>
      <c r="I80" t="s">
        <v>68</v>
      </c>
      <c r="J80">
        <v>56</v>
      </c>
    </row>
    <row r="81" spans="1:10" x14ac:dyDescent="0.3">
      <c r="A81" s="5">
        <v>41092</v>
      </c>
      <c r="B81" t="s">
        <v>28</v>
      </c>
      <c r="C81" s="7">
        <v>140</v>
      </c>
      <c r="D81" s="7">
        <v>1175</v>
      </c>
      <c r="E81" s="20">
        <v>144112498</v>
      </c>
      <c r="F81" s="5"/>
      <c r="H81" t="s">
        <v>61</v>
      </c>
      <c r="I81" t="s">
        <v>25</v>
      </c>
      <c r="J81">
        <v>102</v>
      </c>
    </row>
    <row r="82" spans="1:10" x14ac:dyDescent="0.3">
      <c r="A82" s="5">
        <v>41452</v>
      </c>
      <c r="B82" t="s">
        <v>24</v>
      </c>
      <c r="C82" s="7">
        <v>208</v>
      </c>
      <c r="D82" s="7">
        <v>1566</v>
      </c>
      <c r="E82" s="20">
        <v>710496486</v>
      </c>
      <c r="F82" s="5"/>
      <c r="H82" t="s">
        <v>61</v>
      </c>
      <c r="I82" t="s">
        <v>26</v>
      </c>
    </row>
    <row r="83" spans="1:10" x14ac:dyDescent="0.3">
      <c r="A83" s="5">
        <v>41453</v>
      </c>
      <c r="B83" t="s">
        <v>68</v>
      </c>
      <c r="C83" s="7">
        <v>121</v>
      </c>
      <c r="D83" s="7">
        <v>1417</v>
      </c>
      <c r="E83" s="20">
        <v>3459816558</v>
      </c>
      <c r="F83" s="5"/>
      <c r="H83" t="s">
        <v>61</v>
      </c>
      <c r="I83" t="s">
        <v>27</v>
      </c>
      <c r="J83">
        <v>209</v>
      </c>
    </row>
    <row r="84" spans="1:10" x14ac:dyDescent="0.3">
      <c r="A84" s="5">
        <v>41454</v>
      </c>
      <c r="B84" t="s">
        <v>25</v>
      </c>
      <c r="C84" s="7">
        <v>115</v>
      </c>
      <c r="D84" s="7">
        <v>1516</v>
      </c>
      <c r="E84" s="20">
        <v>9205031603</v>
      </c>
      <c r="F84" s="5"/>
      <c r="H84" t="s">
        <v>61</v>
      </c>
      <c r="I84" t="s">
        <v>28</v>
      </c>
      <c r="J84">
        <v>55</v>
      </c>
    </row>
    <row r="85" spans="1:10" x14ac:dyDescent="0.3">
      <c r="A85" s="5">
        <v>41455</v>
      </c>
      <c r="B85" t="s">
        <v>26</v>
      </c>
      <c r="C85" s="7">
        <v>1</v>
      </c>
      <c r="D85" s="7">
        <v>202</v>
      </c>
      <c r="E85" s="20">
        <v>13000000</v>
      </c>
      <c r="F85" s="5"/>
      <c r="J85">
        <f>SUM(J13:J84)</f>
        <v>8963</v>
      </c>
    </row>
    <row r="86" spans="1:10" x14ac:dyDescent="0.3">
      <c r="A86" s="5">
        <v>41456</v>
      </c>
      <c r="B86" t="s">
        <v>27</v>
      </c>
      <c r="C86" s="7">
        <v>413</v>
      </c>
      <c r="D86" s="7">
        <v>2290</v>
      </c>
      <c r="E86" s="20">
        <v>1638513362</v>
      </c>
      <c r="F86" s="5"/>
    </row>
    <row r="87" spans="1:10" x14ac:dyDescent="0.3">
      <c r="A87" s="5">
        <v>41457</v>
      </c>
      <c r="B87" t="s">
        <v>28</v>
      </c>
      <c r="C87" s="7">
        <v>122</v>
      </c>
      <c r="D87" s="7">
        <v>777</v>
      </c>
      <c r="E87" s="20">
        <v>1515716215</v>
      </c>
      <c r="F87" s="5"/>
    </row>
    <row r="88" spans="1:10" x14ac:dyDescent="0.3">
      <c r="A88" s="5">
        <v>41817</v>
      </c>
      <c r="B88" t="s">
        <v>24</v>
      </c>
      <c r="C88" s="7">
        <v>246</v>
      </c>
      <c r="D88" s="7">
        <v>762</v>
      </c>
      <c r="E88" s="20">
        <v>2424452277</v>
      </c>
      <c r="F88" s="5"/>
    </row>
    <row r="89" spans="1:10" x14ac:dyDescent="0.3">
      <c r="A89" s="5">
        <v>41818</v>
      </c>
      <c r="B89" t="s">
        <v>68</v>
      </c>
      <c r="C89" s="7">
        <v>102</v>
      </c>
      <c r="D89" s="7">
        <v>1280</v>
      </c>
      <c r="E89" s="20">
        <v>1112203174</v>
      </c>
      <c r="F89" s="5"/>
    </row>
    <row r="90" spans="1:10" x14ac:dyDescent="0.3">
      <c r="A90" s="5">
        <v>41819</v>
      </c>
      <c r="B90" t="s">
        <v>25</v>
      </c>
      <c r="C90" s="7">
        <v>97</v>
      </c>
      <c r="D90" s="7">
        <v>632</v>
      </c>
      <c r="E90" s="20">
        <v>4159410999</v>
      </c>
      <c r="F90" s="5"/>
    </row>
    <row r="91" spans="1:10" x14ac:dyDescent="0.3">
      <c r="A91" s="5">
        <v>41820</v>
      </c>
      <c r="B91" t="s">
        <v>26</v>
      </c>
      <c r="C91" s="7"/>
      <c r="D91" s="7"/>
      <c r="F91" s="5"/>
    </row>
    <row r="92" spans="1:10" x14ac:dyDescent="0.3">
      <c r="A92" s="5">
        <v>41821</v>
      </c>
      <c r="B92" t="s">
        <v>27</v>
      </c>
      <c r="C92" s="7">
        <v>200</v>
      </c>
      <c r="D92" s="7">
        <v>1138</v>
      </c>
      <c r="E92" s="20">
        <v>4117237634</v>
      </c>
      <c r="F92" s="5"/>
    </row>
    <row r="93" spans="1:10" x14ac:dyDescent="0.3">
      <c r="A93" s="5">
        <v>41822</v>
      </c>
      <c r="B93" t="s">
        <v>28</v>
      </c>
      <c r="C93" s="7">
        <v>64</v>
      </c>
      <c r="D93" s="7">
        <v>692</v>
      </c>
      <c r="E93" s="20">
        <v>2162030815</v>
      </c>
      <c r="F93" s="5"/>
    </row>
    <row r="94" spans="1:10" x14ac:dyDescent="0.3">
      <c r="A94" s="5">
        <v>42182</v>
      </c>
      <c r="B94" t="s">
        <v>24</v>
      </c>
      <c r="C94" s="7">
        <v>293</v>
      </c>
      <c r="D94" s="7">
        <v>646</v>
      </c>
      <c r="E94" s="20">
        <v>1897230346</v>
      </c>
      <c r="F94" s="5"/>
    </row>
    <row r="95" spans="1:10" x14ac:dyDescent="0.3">
      <c r="A95" s="5">
        <v>42183</v>
      </c>
      <c r="B95" t="s">
        <v>68</v>
      </c>
      <c r="C95" s="7">
        <v>80</v>
      </c>
      <c r="D95" s="7">
        <v>774</v>
      </c>
      <c r="E95" s="20">
        <v>1434885923</v>
      </c>
      <c r="F95" s="5"/>
    </row>
    <row r="96" spans="1:10" x14ac:dyDescent="0.3">
      <c r="A96" s="5">
        <v>42184</v>
      </c>
      <c r="B96" t="s">
        <v>25</v>
      </c>
      <c r="C96" s="7">
        <v>100</v>
      </c>
      <c r="D96" s="7">
        <v>374</v>
      </c>
      <c r="E96" s="20">
        <v>2800482607</v>
      </c>
      <c r="F96" s="5"/>
    </row>
    <row r="97" spans="1:6" x14ac:dyDescent="0.3">
      <c r="A97" s="5">
        <v>42185</v>
      </c>
      <c r="B97" t="s">
        <v>26</v>
      </c>
      <c r="C97" s="7"/>
      <c r="D97" s="7"/>
      <c r="F97" s="5"/>
    </row>
    <row r="98" spans="1:6" x14ac:dyDescent="0.3">
      <c r="A98" s="5">
        <v>42186</v>
      </c>
      <c r="B98" t="s">
        <v>27</v>
      </c>
      <c r="C98" s="7">
        <v>181</v>
      </c>
      <c r="D98" s="7">
        <v>2078</v>
      </c>
      <c r="E98" s="20">
        <v>2643560412</v>
      </c>
      <c r="F98" s="5"/>
    </row>
    <row r="99" spans="1:6" x14ac:dyDescent="0.3">
      <c r="A99" s="5">
        <v>42187</v>
      </c>
      <c r="B99" t="s">
        <v>28</v>
      </c>
      <c r="C99" s="7">
        <v>67</v>
      </c>
      <c r="D99" s="7">
        <v>1298</v>
      </c>
      <c r="E99" s="20">
        <v>2145410317</v>
      </c>
      <c r="F99" s="5"/>
    </row>
    <row r="100" spans="1:6" x14ac:dyDescent="0.3">
      <c r="A100" s="5">
        <v>42548</v>
      </c>
      <c r="B100" t="s">
        <v>24</v>
      </c>
      <c r="C100" s="7">
        <v>233</v>
      </c>
      <c r="D100" s="7">
        <v>1489</v>
      </c>
      <c r="E100" s="20">
        <v>8309197488</v>
      </c>
      <c r="F100" s="5"/>
    </row>
    <row r="101" spans="1:6" x14ac:dyDescent="0.3">
      <c r="A101" s="5">
        <v>42549</v>
      </c>
      <c r="B101" t="s">
        <v>68</v>
      </c>
      <c r="C101" s="7">
        <v>164</v>
      </c>
      <c r="D101" s="7">
        <v>1951</v>
      </c>
      <c r="E101" s="20">
        <v>1582778687</v>
      </c>
      <c r="F101" s="5"/>
    </row>
    <row r="102" spans="1:6" x14ac:dyDescent="0.3">
      <c r="A102" s="5">
        <v>42550</v>
      </c>
      <c r="B102" t="s">
        <v>25</v>
      </c>
      <c r="C102" s="7">
        <v>177</v>
      </c>
      <c r="D102" s="7">
        <v>582</v>
      </c>
      <c r="E102" s="20">
        <v>1809510865</v>
      </c>
      <c r="F102" s="5"/>
    </row>
    <row r="103" spans="1:6" x14ac:dyDescent="0.3">
      <c r="A103" s="5">
        <v>42551</v>
      </c>
      <c r="B103" t="s">
        <v>26</v>
      </c>
      <c r="C103" s="7"/>
      <c r="D103" s="7"/>
      <c r="F103" s="5"/>
    </row>
    <row r="104" spans="1:6" x14ac:dyDescent="0.3">
      <c r="A104" s="5">
        <v>42552</v>
      </c>
      <c r="B104" t="s">
        <v>27</v>
      </c>
      <c r="C104" s="7">
        <v>76</v>
      </c>
      <c r="D104" s="7">
        <v>982</v>
      </c>
      <c r="E104" s="20">
        <v>8116585246</v>
      </c>
      <c r="F104" s="5"/>
    </row>
    <row r="105" spans="1:6" x14ac:dyDescent="0.3">
      <c r="A105" s="5">
        <v>42553</v>
      </c>
      <c r="B105" t="s">
        <v>28</v>
      </c>
      <c r="C105" s="7">
        <v>161</v>
      </c>
      <c r="D105" s="7">
        <v>1082</v>
      </c>
      <c r="E105" s="20">
        <v>1123685868</v>
      </c>
      <c r="F105" s="5"/>
    </row>
    <row r="106" spans="1:6" x14ac:dyDescent="0.3">
      <c r="A106" s="5">
        <v>42913</v>
      </c>
      <c r="B106" t="s">
        <v>24</v>
      </c>
      <c r="C106" s="7">
        <v>538</v>
      </c>
      <c r="D106" s="7">
        <v>1222</v>
      </c>
      <c r="E106" s="20">
        <v>5882626061</v>
      </c>
      <c r="F106" s="5"/>
    </row>
    <row r="107" spans="1:6" x14ac:dyDescent="0.3">
      <c r="A107" s="5">
        <v>42914</v>
      </c>
      <c r="B107" t="s">
        <v>68</v>
      </c>
      <c r="C107" s="7">
        <v>117</v>
      </c>
      <c r="D107" s="7">
        <v>1242</v>
      </c>
      <c r="E107" s="20">
        <v>6310548682</v>
      </c>
      <c r="F107" s="5"/>
    </row>
    <row r="108" spans="1:6" x14ac:dyDescent="0.3">
      <c r="A108" s="5">
        <v>42915</v>
      </c>
      <c r="B108" t="s">
        <v>25</v>
      </c>
      <c r="C108" s="7">
        <v>626</v>
      </c>
      <c r="D108" s="7">
        <v>738</v>
      </c>
      <c r="E108" s="20">
        <v>6439694251</v>
      </c>
      <c r="F108" s="5"/>
    </row>
    <row r="109" spans="1:6" x14ac:dyDescent="0.3">
      <c r="A109" s="5">
        <v>42916</v>
      </c>
      <c r="B109" t="s">
        <v>26</v>
      </c>
      <c r="C109" s="7"/>
      <c r="D109" s="7"/>
      <c r="F109" s="5"/>
    </row>
    <row r="110" spans="1:6" x14ac:dyDescent="0.3">
      <c r="A110" s="5">
        <v>42917</v>
      </c>
      <c r="B110" t="s">
        <v>27</v>
      </c>
      <c r="C110" s="7">
        <v>113</v>
      </c>
      <c r="D110" s="7">
        <v>1332</v>
      </c>
      <c r="E110" s="20">
        <v>5381703621</v>
      </c>
      <c r="F110" s="5"/>
    </row>
    <row r="111" spans="1:6" x14ac:dyDescent="0.3">
      <c r="A111" s="5">
        <v>42918</v>
      </c>
      <c r="B111" t="s">
        <v>28</v>
      </c>
      <c r="C111" s="7">
        <v>106</v>
      </c>
      <c r="D111" s="7">
        <v>1433</v>
      </c>
      <c r="E111" s="20">
        <v>2230629627</v>
      </c>
      <c r="F111" s="5"/>
    </row>
    <row r="112" spans="1:6" x14ac:dyDescent="0.3">
      <c r="A112" s="5">
        <v>43278</v>
      </c>
      <c r="B112" t="s">
        <v>24</v>
      </c>
      <c r="C112" s="7">
        <v>48</v>
      </c>
      <c r="D112" s="7">
        <v>379</v>
      </c>
      <c r="E112" s="20">
        <v>11379344139</v>
      </c>
      <c r="F112" s="5"/>
    </row>
    <row r="113" spans="1:6" x14ac:dyDescent="0.3">
      <c r="A113" s="5">
        <v>43279</v>
      </c>
      <c r="B113" t="s">
        <v>68</v>
      </c>
      <c r="C113" s="7">
        <v>23</v>
      </c>
      <c r="D113" s="7">
        <v>448</v>
      </c>
      <c r="E113" s="20">
        <v>15978872</v>
      </c>
      <c r="F113" s="5"/>
    </row>
    <row r="114" spans="1:6" x14ac:dyDescent="0.3">
      <c r="A114" s="5">
        <v>43280</v>
      </c>
      <c r="B114" t="s">
        <v>25</v>
      </c>
      <c r="C114" s="7">
        <v>13</v>
      </c>
      <c r="D114" s="7">
        <v>1731</v>
      </c>
      <c r="E114" s="20">
        <v>25097157200</v>
      </c>
      <c r="F114" s="5"/>
    </row>
    <row r="115" spans="1:6" x14ac:dyDescent="0.3">
      <c r="A115" s="5">
        <v>43281</v>
      </c>
      <c r="B115" t="s">
        <v>26</v>
      </c>
      <c r="C115" s="7"/>
      <c r="D115" s="7"/>
      <c r="F115" s="5"/>
    </row>
    <row r="116" spans="1:6" x14ac:dyDescent="0.3">
      <c r="A116" s="5">
        <v>43282</v>
      </c>
      <c r="B116" t="s">
        <v>27</v>
      </c>
      <c r="C116" s="7">
        <v>3</v>
      </c>
      <c r="D116" s="7">
        <v>291</v>
      </c>
      <c r="E116" s="20">
        <v>31670666</v>
      </c>
      <c r="F116" s="5"/>
    </row>
    <row r="117" spans="1:6" x14ac:dyDescent="0.3">
      <c r="A117" s="5">
        <v>43283</v>
      </c>
      <c r="B117" t="s">
        <v>28</v>
      </c>
      <c r="C117" s="7">
        <v>9</v>
      </c>
      <c r="D117" s="7">
        <v>660</v>
      </c>
      <c r="E117" s="20">
        <v>42760</v>
      </c>
      <c r="F117" s="5"/>
    </row>
  </sheetData>
  <pageMargins left="0.7" right="0.7" top="0.75" bottom="0.75" header="0.3" footer="0.3"/>
  <pageSetup paperSize="9" orientation="portrait" horizontalDpi="360" verticalDpi="36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>
    <tabColor theme="9"/>
  </sheetPr>
  <dimension ref="B3:C16"/>
  <sheetViews>
    <sheetView tabSelected="1" workbookViewId="0">
      <selection activeCell="B16" sqref="B16"/>
    </sheetView>
  </sheetViews>
  <sheetFormatPr baseColWidth="10" defaultColWidth="11.44140625" defaultRowHeight="14.4" x14ac:dyDescent="0.3"/>
  <cols>
    <col min="1" max="1" width="11.44140625" style="11"/>
    <col min="2" max="2" width="23.6640625" style="11" customWidth="1"/>
    <col min="3" max="3" width="102.5546875" style="11" customWidth="1"/>
    <col min="4" max="16384" width="11.44140625" style="11"/>
  </cols>
  <sheetData>
    <row r="3" spans="2:3" ht="28.8" x14ac:dyDescent="0.55000000000000004">
      <c r="C3" s="12" t="s">
        <v>37</v>
      </c>
    </row>
    <row r="6" spans="2:3" ht="8.25" customHeight="1" x14ac:dyDescent="0.3"/>
    <row r="7" spans="2:3" ht="6.75" customHeight="1" x14ac:dyDescent="0.3"/>
    <row r="8" spans="2:3" ht="55.2" x14ac:dyDescent="0.3">
      <c r="B8" s="13"/>
      <c r="C8" s="16" t="s">
        <v>35</v>
      </c>
    </row>
    <row r="9" spans="2:3" x14ac:dyDescent="0.3">
      <c r="B9" s="14"/>
    </row>
    <row r="10" spans="2:3" ht="28.2" x14ac:dyDescent="0.3">
      <c r="B10" s="13"/>
      <c r="C10" s="17" t="s">
        <v>36</v>
      </c>
    </row>
    <row r="12" spans="2:3" x14ac:dyDescent="0.3">
      <c r="C12" s="18" t="s">
        <v>38</v>
      </c>
    </row>
    <row r="16" spans="2:3" x14ac:dyDescent="0.3">
      <c r="C16" s="15"/>
    </row>
  </sheetData>
  <pageMargins left="0.7" right="0.7" top="0.75" bottom="0.75" header="0.3" footer="0.3"/>
  <pageSetup paperSize="9" orientation="portrait" horizontalDpi="360" verticalDpi="36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>
    <tabColor theme="9"/>
  </sheetPr>
  <dimension ref="B1:S20"/>
  <sheetViews>
    <sheetView topLeftCell="A57" zoomScale="90" zoomScaleNormal="90" workbookViewId="0">
      <selection activeCell="K14" sqref="K14"/>
    </sheetView>
  </sheetViews>
  <sheetFormatPr baseColWidth="10" defaultColWidth="11.44140625" defaultRowHeight="14.4" x14ac:dyDescent="0.3"/>
  <cols>
    <col min="1" max="1" width="5.6640625" style="9" customWidth="1"/>
    <col min="2" max="16384" width="11.44140625" style="9"/>
  </cols>
  <sheetData>
    <row r="1" spans="2:19" x14ac:dyDescent="0.3">
      <c r="N1" s="8"/>
      <c r="O1" s="8"/>
      <c r="P1" s="8"/>
      <c r="Q1" s="8"/>
      <c r="R1" s="8"/>
      <c r="S1" s="8"/>
    </row>
    <row r="2" spans="2:19" ht="23.4" x14ac:dyDescent="0.45">
      <c r="B2" s="10"/>
      <c r="C2" s="11"/>
      <c r="D2" s="11"/>
      <c r="E2" s="11"/>
      <c r="F2" s="11"/>
      <c r="G2" s="11"/>
      <c r="N2" s="8"/>
      <c r="O2" s="8"/>
      <c r="P2" s="8"/>
      <c r="Q2" s="8"/>
      <c r="R2" s="8"/>
      <c r="S2" s="8"/>
    </row>
    <row r="3" spans="2:19" x14ac:dyDescent="0.3">
      <c r="N3" s="8"/>
      <c r="O3" s="8"/>
      <c r="P3" s="8"/>
      <c r="Q3" s="8"/>
      <c r="R3" s="8"/>
      <c r="S3" s="8"/>
    </row>
    <row r="4" spans="2:19" x14ac:dyDescent="0.3">
      <c r="N4" s="8"/>
      <c r="O4" s="8"/>
      <c r="P4" s="8"/>
      <c r="Q4" s="8"/>
      <c r="R4" s="8"/>
      <c r="S4" s="8"/>
    </row>
    <row r="5" spans="2:19" x14ac:dyDescent="0.3">
      <c r="N5" s="8"/>
      <c r="O5" s="8"/>
      <c r="P5" s="8"/>
      <c r="Q5" s="8"/>
      <c r="R5" s="8"/>
      <c r="S5" s="8"/>
    </row>
    <row r="6" spans="2:19" x14ac:dyDescent="0.3">
      <c r="N6" s="8"/>
      <c r="O6" s="8"/>
      <c r="P6" s="8"/>
      <c r="Q6" s="8"/>
      <c r="R6" s="8"/>
      <c r="S6" s="8"/>
    </row>
    <row r="7" spans="2:19" x14ac:dyDescent="0.3">
      <c r="N7" s="8"/>
      <c r="O7" s="8"/>
      <c r="P7" s="8"/>
      <c r="Q7" s="8"/>
      <c r="R7" s="8"/>
      <c r="S7" s="8"/>
    </row>
    <row r="8" spans="2:19" x14ac:dyDescent="0.3">
      <c r="N8" s="8"/>
      <c r="O8" s="8"/>
      <c r="P8" s="8"/>
      <c r="Q8" s="8"/>
      <c r="R8" s="8"/>
      <c r="S8" s="8"/>
    </row>
    <row r="9" spans="2:19" x14ac:dyDescent="0.3">
      <c r="N9" s="8"/>
      <c r="O9" s="8"/>
      <c r="P9" s="8"/>
      <c r="Q9" s="8"/>
      <c r="R9" s="8"/>
      <c r="S9" s="8"/>
    </row>
    <row r="10" spans="2:19" x14ac:dyDescent="0.3">
      <c r="N10" s="8"/>
      <c r="O10" s="8"/>
      <c r="P10" s="8"/>
      <c r="Q10" s="8"/>
      <c r="R10" s="8"/>
      <c r="S10" s="8"/>
    </row>
    <row r="11" spans="2:19" x14ac:dyDescent="0.3">
      <c r="N11" s="8"/>
      <c r="O11" s="8"/>
      <c r="P11" s="8"/>
      <c r="Q11" s="8"/>
      <c r="R11" s="8"/>
      <c r="S11" s="8"/>
    </row>
    <row r="12" spans="2:19" x14ac:dyDescent="0.3">
      <c r="N12" s="8"/>
      <c r="O12" s="8"/>
      <c r="P12" s="8"/>
      <c r="Q12" s="8"/>
      <c r="R12" s="8"/>
      <c r="S12" s="8"/>
    </row>
    <row r="13" spans="2:19" x14ac:dyDescent="0.3">
      <c r="N13" s="8"/>
      <c r="O13" s="8"/>
      <c r="P13" s="8"/>
      <c r="Q13" s="8"/>
      <c r="R13" s="8"/>
      <c r="S13" s="8"/>
    </row>
    <row r="14" spans="2:19" x14ac:dyDescent="0.3">
      <c r="N14" s="8"/>
      <c r="O14" s="8"/>
      <c r="P14" s="8"/>
      <c r="Q14" s="8"/>
      <c r="R14" s="8"/>
      <c r="S14" s="8"/>
    </row>
    <row r="15" spans="2:19" x14ac:dyDescent="0.3">
      <c r="N15" s="8"/>
      <c r="O15" s="8"/>
      <c r="P15" s="8"/>
      <c r="Q15" s="8"/>
      <c r="R15" s="8"/>
      <c r="S15" s="8"/>
    </row>
    <row r="20" spans="2:9" ht="23.4" x14ac:dyDescent="0.45">
      <c r="B20" s="10"/>
      <c r="C20" s="11"/>
      <c r="D20" s="11"/>
      <c r="E20" s="11"/>
      <c r="F20" s="11"/>
      <c r="G20" s="11"/>
      <c r="H20" s="11"/>
      <c r="I20" s="11"/>
    </row>
  </sheetData>
  <pageMargins left="0.7" right="0.7" top="0.75" bottom="0.75" header="0.3" footer="0.3"/>
  <pageSetup paperSize="9" orientation="portrait" horizontalDpi="360" verticalDpi="360" r:id="rId1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>
    <tabColor theme="9"/>
  </sheetPr>
  <dimension ref="B1:P18"/>
  <sheetViews>
    <sheetView zoomScale="110" zoomScaleNormal="110" workbookViewId="0">
      <selection activeCell="H31" sqref="H31"/>
    </sheetView>
  </sheetViews>
  <sheetFormatPr baseColWidth="10" defaultColWidth="11.44140625" defaultRowHeight="14.4" x14ac:dyDescent="0.3"/>
  <cols>
    <col min="1" max="1" width="7.6640625" style="9" customWidth="1"/>
    <col min="2" max="6" width="11.44140625" style="9"/>
    <col min="7" max="7" width="4.88671875" style="9" customWidth="1"/>
    <col min="8" max="11" width="11.44140625" style="9"/>
    <col min="12" max="12" width="8.44140625" style="9" customWidth="1"/>
    <col min="13" max="16384" width="11.44140625" style="9"/>
  </cols>
  <sheetData>
    <row r="1" spans="2:16" ht="2.25" customHeight="1" x14ac:dyDescent="0.3"/>
    <row r="2" spans="2:16" ht="2.25" customHeight="1" x14ac:dyDescent="0.3"/>
    <row r="3" spans="2:16" x14ac:dyDescent="0.3">
      <c r="B3" s="15"/>
      <c r="C3" s="11"/>
      <c r="D3" s="11"/>
      <c r="E3" s="11"/>
      <c r="H3" s="15"/>
      <c r="I3" s="11"/>
      <c r="J3" s="11"/>
      <c r="K3" s="11"/>
      <c r="M3" s="15"/>
      <c r="N3" s="11"/>
      <c r="O3" s="11"/>
      <c r="P3" s="11"/>
    </row>
    <row r="4" spans="2:16" ht="6" customHeight="1" x14ac:dyDescent="0.3"/>
    <row r="15" spans="2:16" ht="3.75" customHeight="1" x14ac:dyDescent="0.3"/>
    <row r="16" spans="2:16" ht="6" hidden="1" customHeight="1" x14ac:dyDescent="0.3"/>
    <row r="17" spans="2:16" ht="0.75" customHeight="1" x14ac:dyDescent="0.3"/>
    <row r="18" spans="2:16" x14ac:dyDescent="0.3">
      <c r="B18" s="15"/>
      <c r="C18" s="11"/>
      <c r="D18" s="11"/>
      <c r="E18" s="11"/>
      <c r="H18" s="15"/>
      <c r="I18" s="11"/>
      <c r="J18" s="11"/>
      <c r="K18" s="11"/>
      <c r="M18" s="15"/>
      <c r="N18" s="11"/>
      <c r="O18" s="11"/>
      <c r="P18" s="11"/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>
    <tabColor theme="9"/>
  </sheetPr>
  <dimension ref="A1"/>
  <sheetViews>
    <sheetView zoomScale="120" zoomScaleNormal="120" workbookViewId="0">
      <selection activeCell="D24" sqref="D24"/>
    </sheetView>
  </sheetViews>
  <sheetFormatPr baseColWidth="10" defaultColWidth="11.44140625" defaultRowHeight="14.4" x14ac:dyDescent="0.3"/>
  <cols>
    <col min="1" max="16384" width="11.44140625" style="9"/>
  </cols>
  <sheetData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7">
    <tabColor theme="9"/>
  </sheetPr>
  <dimension ref="B2:I8"/>
  <sheetViews>
    <sheetView workbookViewId="0">
      <selection activeCell="D9" sqref="D9"/>
    </sheetView>
  </sheetViews>
  <sheetFormatPr baseColWidth="10" defaultColWidth="11.44140625" defaultRowHeight="14.4" x14ac:dyDescent="0.3"/>
  <cols>
    <col min="1" max="16384" width="11.44140625" style="9"/>
  </cols>
  <sheetData>
    <row r="2" spans="2:9" x14ac:dyDescent="0.3">
      <c r="B2" s="22"/>
    </row>
    <row r="8" spans="2:9" x14ac:dyDescent="0.3">
      <c r="I8" s="22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Macro1">
                <anchor moveWithCells="1" sizeWithCells="1">
                  <from>
                    <xdr:col>1</xdr:col>
                    <xdr:colOff>144780</xdr:colOff>
                    <xdr:row>4</xdr:row>
                    <xdr:rowOff>175260</xdr:rowOff>
                  </from>
                  <to>
                    <xdr:col>3</xdr:col>
                    <xdr:colOff>655320</xdr:colOff>
                    <xdr:row>8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7</vt:i4>
      </vt:variant>
    </vt:vector>
  </HeadingPairs>
  <TitlesOfParts>
    <vt:vector size="7" baseType="lpstr">
      <vt:lpstr>Transformation data</vt:lpstr>
      <vt:lpstr>Data</vt:lpstr>
      <vt:lpstr>Informations</vt:lpstr>
      <vt:lpstr>Dashboard</vt:lpstr>
      <vt:lpstr>WordCloud </vt:lpstr>
      <vt:lpstr>CountriesCloud</vt:lpstr>
      <vt:lpstr>Maps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nicolas brouté</dc:creator>
  <cp:lastModifiedBy>Noémie Deloeuvre</cp:lastModifiedBy>
  <dcterms:created xsi:type="dcterms:W3CDTF">2018-03-23T13:11:17Z</dcterms:created>
  <dcterms:modified xsi:type="dcterms:W3CDTF">2018-03-29T14:23:59Z</dcterms:modified>
</cp:coreProperties>
</file>